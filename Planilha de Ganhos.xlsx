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junho" sheetId="1" state="visible" r:id="rId1"/>
    <sheet xmlns:r="http://schemas.openxmlformats.org/officeDocument/2006/relationships" name="julho" sheetId="2" state="visible" r:id="rId2"/>
    <sheet xmlns:r="http://schemas.openxmlformats.org/officeDocument/2006/relationships" name="agosto " sheetId="3" state="visible" r:id="rId3"/>
    <sheet xmlns:r="http://schemas.openxmlformats.org/officeDocument/2006/relationships" name="setembro " sheetId="4" state="visible" r:id="rId4"/>
    <sheet xmlns:r="http://schemas.openxmlformats.org/officeDocument/2006/relationships" name="Outubro " sheetId="5" state="visible" r:id="rId5"/>
    <sheet xmlns:r="http://schemas.openxmlformats.org/officeDocument/2006/relationships" name="novembro " sheetId="6" state="visible" r:id="rId6"/>
    <sheet xmlns:r="http://schemas.openxmlformats.org/officeDocument/2006/relationships" name="Dezembro 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[$R$ -416]#,##0.00"/>
  </numFmts>
  <fonts count="21">
    <font>
      <name val="Arial"/>
      <color rgb="FF000000"/>
      <sz val="10"/>
      <scheme val="minor"/>
    </font>
    <font>
      <name val="Arial"/>
      <color theme="1"/>
      <sz val="10"/>
    </font>
    <font>
      <name val="Comic Sans MS"/>
      <color theme="1"/>
      <sz val="18"/>
    </font>
    <font>
      <name val="Georgia"/>
      <b val="1"/>
      <color theme="1"/>
      <sz val="18"/>
    </font>
    <font>
      <name val="Merriweather"/>
      <b val="1"/>
      <color theme="1"/>
      <sz val="18"/>
    </font>
    <font>
      <name val="Arial"/>
      <color theme="1"/>
      <sz val="10"/>
      <scheme val="minor"/>
    </font>
    <font>
      <name val="Lora"/>
      <b val="1"/>
      <color theme="1"/>
      <sz val="10"/>
    </font>
    <font>
      <name val="Inconsolata"/>
      <b val="1"/>
      <color theme="1"/>
      <sz val="18"/>
    </font>
    <font>
      <name val="Arial"/>
      <b val="1"/>
      <color theme="1"/>
      <sz val="10"/>
    </font>
    <font>
      <name val="Lexend"/>
      <b val="1"/>
      <color rgb="FFFFFFFF"/>
      <sz val="36"/>
    </font>
    <font>
      <name val="Lexend"/>
      <b val="1"/>
      <color theme="1"/>
      <sz val="10"/>
    </font>
    <font>
      <name val="Inconsolata"/>
      <b val="1"/>
      <color theme="1"/>
      <sz val="12"/>
    </font>
    <font>
      <name val="Inconsolata"/>
      <b val="1"/>
      <color theme="1"/>
      <sz val="11"/>
    </font>
    <font>
      <name val="Arial"/>
      <b val="1"/>
      <color theme="1"/>
      <sz val="12"/>
      <scheme val="minor"/>
    </font>
    <font>
      <name val="Inconsolata"/>
      <b val="1"/>
      <color rgb="FFFF0000"/>
      <sz val="18"/>
    </font>
    <font>
      <name val="Inconsolata"/>
      <b val="1"/>
      <color rgb="FF38761D"/>
      <sz val="18"/>
    </font>
    <font>
      <name val="Verdana"/>
      <b val="1"/>
      <color theme="1"/>
      <sz val="18"/>
    </font>
    <font>
      <name val="Arial"/>
      <b val="1"/>
      <color theme="1"/>
      <sz val="18"/>
    </font>
    <font>
      <name val="Arial"/>
      <b val="1"/>
      <color rgb="FFFFFFFF"/>
      <sz val="11"/>
    </font>
    <font>
      <name val="Arial"/>
      <b val="1"/>
      <color rgb="FFFFFFFF"/>
      <sz val="12"/>
    </font>
    <font>
      <name val="Arial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3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0" fontId="11" fillId="3" borderId="18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10" fillId="2" borderId="19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/>
    </xf>
    <xf numFmtId="0" fontId="11" fillId="2" borderId="18" applyAlignment="1" pivotButton="0" quotePrefix="0" xfId="0">
      <alignment horizontal="center" vertical="center"/>
    </xf>
    <xf numFmtId="10" fontId="11" fillId="2" borderId="18" applyAlignment="1" pivotButton="0" quotePrefix="0" xfId="0">
      <alignment horizontal="center" vertical="center"/>
    </xf>
    <xf numFmtId="0" fontId="12" fillId="2" borderId="18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20" fillId="0" borderId="0" pivotButton="0" quotePrefix="0" xfId="0"/>
    <xf numFmtId="0" fontId="1" fillId="0" borderId="0" pivotButton="0" quotePrefix="0" xfId="0"/>
    <xf numFmtId="164" fontId="10" fillId="3" borderId="17" applyAlignment="1" pivotButton="0" quotePrefix="0" xfId="0">
      <alignment horizontal="center" vertical="center"/>
    </xf>
    <xf numFmtId="165" fontId="12" fillId="3" borderId="20" applyAlignment="1" pivotButton="0" quotePrefix="0" xfId="0">
      <alignment horizontal="center" vertical="center"/>
    </xf>
    <xf numFmtId="165" fontId="12" fillId="3" borderId="18" applyAlignment="1" pivotButton="0" quotePrefix="0" xfId="0">
      <alignment horizontal="center" vertical="center"/>
    </xf>
    <xf numFmtId="165" fontId="11" fillId="0" borderId="18" applyAlignment="1" pivotButton="0" quotePrefix="0" xfId="0">
      <alignment horizontal="center" vertical="center"/>
    </xf>
    <xf numFmtId="165" fontId="11" fillId="3" borderId="18" applyAlignment="1" pivotButton="0" quotePrefix="0" xfId="0">
      <alignment horizontal="center" vertical="center"/>
    </xf>
    <xf numFmtId="165" fontId="11" fillId="0" borderId="19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center"/>
    </xf>
    <xf numFmtId="164" fontId="10" fillId="2" borderId="17" applyAlignment="1" pivotButton="0" quotePrefix="0" xfId="0">
      <alignment horizontal="center" vertical="center"/>
    </xf>
    <xf numFmtId="165" fontId="12" fillId="2" borderId="20" applyAlignment="1" pivotButton="0" quotePrefix="0" xfId="0">
      <alignment horizontal="center" vertical="center"/>
    </xf>
    <xf numFmtId="165" fontId="11" fillId="2" borderId="19" applyAlignment="1" pivotButton="0" quotePrefix="0" xfId="0">
      <alignment horizontal="center" vertical="center"/>
    </xf>
    <xf numFmtId="165" fontId="11" fillId="2" borderId="18" applyAlignment="1" pivotButton="0" quotePrefix="0" xfId="0">
      <alignment horizontal="center" vertical="center"/>
    </xf>
    <xf numFmtId="165" fontId="20" fillId="0" borderId="0" pivotButton="0" quotePrefix="0" xfId="0"/>
    <xf numFmtId="0" fontId="0" fillId="0" borderId="0" pivotButton="0" quotePrefix="0" xfId="0"/>
    <xf numFmtId="165" fontId="13" fillId="3" borderId="19" applyAlignment="1" pivotButton="0" quotePrefix="0" xfId="0">
      <alignment horizontal="center"/>
    </xf>
    <xf numFmtId="0" fontId="0" fillId="0" borderId="21" pivotButton="0" quotePrefix="0" xfId="0"/>
    <xf numFmtId="0" fontId="0" fillId="0" borderId="0" pivotButton="0" quotePrefix="0" xfId="0"/>
    <xf numFmtId="0" fontId="3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165" fontId="7" fillId="3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16" pivotButton="0" quotePrefix="0" xfId="0"/>
    <xf numFmtId="10" fontId="17" fillId="3" borderId="13" applyAlignment="1" pivotButton="0" quotePrefix="0" xfId="0">
      <alignment horizontal="center" vertical="center"/>
    </xf>
    <xf numFmtId="0" fontId="0" fillId="0" borderId="3" pivotButton="0" quotePrefix="0" xfId="0"/>
    <xf numFmtId="165" fontId="14" fillId="3" borderId="14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3" fillId="2" borderId="19" applyAlignment="1" pivotButton="0" quotePrefix="0" xfId="0">
      <alignment horizontal="center"/>
    </xf>
    <xf numFmtId="165" fontId="15" fillId="3" borderId="14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9" fillId="2" borderId="0" applyAlignment="1" pivotButton="0" quotePrefix="0" xfId="0">
      <alignment horizontal="center" vertical="center"/>
    </xf>
    <xf numFmtId="0" fontId="5" fillId="2" borderId="19" pivotButton="0" quotePrefix="0" xfId="0"/>
    <xf numFmtId="0" fontId="16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67"/>
  <sheetViews>
    <sheetView tabSelected="1" workbookViewId="0">
      <selection activeCell="P30" sqref="O30:P30"/>
    </sheetView>
  </sheetViews>
  <sheetFormatPr baseColWidth="8" defaultColWidth="12.5703125" defaultRowHeight="15" customHeight="1"/>
  <cols>
    <col width="8.7109375" customWidth="1" style="45" min="1" max="1"/>
    <col width="12.5703125" customWidth="1" style="45" min="2" max="4"/>
    <col width="12.7109375" customWidth="1" style="45" min="5" max="5"/>
    <col width="12.5703125" customWidth="1" style="45" min="6" max="6"/>
    <col width="4.42578125" customWidth="1" style="45" min="11" max="11"/>
    <col width="4.140625" customWidth="1" style="45" min="14" max="14"/>
    <col width="4.28515625" customWidth="1" style="45" min="20" max="20"/>
    <col width="4.140625" customWidth="1" style="45" min="23" max="23"/>
  </cols>
  <sheetData>
    <row r="1" ht="15.75" customHeight="1" s="45">
      <c r="A1" s="1" t="n"/>
      <c r="B1" s="1" t="n"/>
      <c r="C1" s="68" t="inlineStr">
        <is>
          <t>planilha de ganhos Ac2</t>
        </is>
      </c>
      <c r="D1" s="62" t="n"/>
      <c r="E1" s="62" t="n"/>
      <c r="F1" s="62" t="n"/>
      <c r="G1" s="62" t="n"/>
      <c r="H1" s="47" t="n"/>
      <c r="I1" s="1" t="n"/>
      <c r="J1" s="1" t="n"/>
      <c r="K1" s="1" t="n"/>
      <c r="L1" s="46" t="inlineStr">
        <is>
          <t>1ª Quizena</t>
        </is>
      </c>
      <c r="M1" s="47" t="n"/>
      <c r="N1" s="1" t="n"/>
      <c r="O1" s="61" t="inlineStr">
        <is>
          <t>Gastos</t>
        </is>
      </c>
      <c r="P1" s="62" t="n"/>
      <c r="Q1" s="62" t="n"/>
      <c r="R1" s="62" t="n"/>
      <c r="S1" s="47" t="n"/>
      <c r="T1" s="1" t="n"/>
      <c r="U1" s="67" t="inlineStr">
        <is>
          <t>lucro diario</t>
        </is>
      </c>
      <c r="V1" s="56" t="n"/>
      <c r="W1" s="2" t="n"/>
    </row>
    <row r="2" ht="15.75" customHeight="1" s="45">
      <c r="A2" s="1" t="n"/>
      <c r="B2" s="1" t="n"/>
      <c r="C2" s="48" t="n"/>
      <c r="D2" s="63" t="n"/>
      <c r="E2" s="63" t="n"/>
      <c r="F2" s="63" t="n"/>
      <c r="G2" s="63" t="n"/>
      <c r="H2" s="49" t="n"/>
      <c r="I2" s="1" t="n"/>
      <c r="J2" s="1" t="n"/>
      <c r="K2" s="1" t="n"/>
      <c r="L2" s="48" t="n"/>
      <c r="M2" s="49" t="n"/>
      <c r="N2" s="1" t="n"/>
      <c r="O2" s="48" t="n"/>
      <c r="P2" s="63" t="n"/>
      <c r="Q2" s="63" t="n"/>
      <c r="R2" s="63" t="n"/>
      <c r="S2" s="49" t="n"/>
      <c r="T2" s="1" t="n"/>
      <c r="U2" s="52" t="n"/>
      <c r="V2" s="51" t="n"/>
      <c r="W2" s="2" t="n"/>
    </row>
    <row r="3" ht="15.75" customHeight="1" s="45">
      <c r="A3" s="3" t="n"/>
      <c r="B3" s="4" t="inlineStr">
        <is>
          <t>Data</t>
        </is>
      </c>
      <c r="C3" s="5" t="inlineStr">
        <is>
          <t>Dia semana</t>
        </is>
      </c>
      <c r="D3" s="6" t="inlineStr">
        <is>
          <t>Km executado</t>
        </is>
      </c>
      <c r="E3" s="5" t="inlineStr">
        <is>
          <t>R$ Diaria</t>
        </is>
      </c>
      <c r="F3" s="5" t="inlineStr">
        <is>
          <t>Qtd. Pacotes</t>
        </is>
      </c>
      <c r="G3" s="5" t="inlineStr">
        <is>
          <t xml:space="preserve">Qtd.entregas </t>
        </is>
      </c>
      <c r="H3" s="5" t="inlineStr">
        <is>
          <t>% de Entrega</t>
        </is>
      </c>
      <c r="I3" s="7" t="inlineStr">
        <is>
          <t>bônus 1</t>
        </is>
      </c>
      <c r="J3" s="8" t="inlineStr">
        <is>
          <t>Total</t>
        </is>
      </c>
      <c r="K3" s="1" t="n"/>
      <c r="L3" s="50">
        <f>J37+IF(AND(L31&gt;=13,L29&gt;=98%,L29&lt;=100%),600,0)</f>
        <v/>
      </c>
      <c r="M3" s="51" t="n"/>
      <c r="N3" s="1" t="n"/>
      <c r="O3" s="9" t="inlineStr">
        <is>
          <t>Gasolina</t>
        </is>
      </c>
      <c r="P3" s="9" t="inlineStr">
        <is>
          <t xml:space="preserve">Almoço </t>
        </is>
      </c>
      <c r="Q3" s="10" t="inlineStr">
        <is>
          <t xml:space="preserve">Besteira </t>
        </is>
      </c>
      <c r="R3" s="10" t="inlineStr">
        <is>
          <t>Carro</t>
        </is>
      </c>
      <c r="S3" s="11" t="inlineStr">
        <is>
          <t>Total</t>
        </is>
      </c>
      <c r="T3" s="1" t="n"/>
      <c r="U3" s="53" t="n"/>
      <c r="V3" s="54" t="n"/>
      <c r="W3" s="2" t="n"/>
    </row>
    <row r="4" ht="15.75" customHeight="1" s="45">
      <c r="A4" s="64" t="n">
        <v>1</v>
      </c>
      <c r="B4" s="30" t="n">
        <v>46168</v>
      </c>
      <c r="C4" s="12">
        <f>IF(B4="","",TEXT(WEEKDAY(B4),"dddd"))</f>
        <v/>
      </c>
      <c r="D4" s="16" t="n"/>
      <c r="E4" s="13">
        <f>IF(D4="","",VLOOKUP(D4,
{0,240;101,260;126,280;151,300;176,320;201,340;226,360;251,380;276,400;301,420;326,440;351,460;376,480},
2,TRUE)
+IF(WEEKDAY(B4,2)=7,48,0))</f>
        <v/>
      </c>
      <c r="F4" s="14" t="n"/>
      <c r="G4" s="18" t="n"/>
      <c r="H4" s="15">
        <f>IF(OR(F4="",G4="",F4=0),"",G4/F4)</f>
        <v/>
      </c>
      <c r="I4" s="31">
        <f>IF(H4=1,20,IF(AND(H4&gt;=98%,H4&lt;100%),10,0))</f>
        <v/>
      </c>
      <c r="J4" s="32">
        <f>E4+I4</f>
        <v/>
      </c>
      <c r="K4" s="1" t="n"/>
      <c r="L4" s="53" t="n"/>
      <c r="M4" s="54" t="n"/>
      <c r="N4" s="1" t="n"/>
      <c r="O4" s="33" t="n"/>
      <c r="P4" s="33" t="n"/>
      <c r="Q4" s="33" t="n"/>
      <c r="R4" s="33" t="n"/>
      <c r="S4" s="34">
        <f>O4+P4+Q4+R4</f>
        <v/>
      </c>
      <c r="T4" s="1" t="n"/>
      <c r="U4" s="43">
        <f>SUM(J4-S4)</f>
        <v/>
      </c>
      <c r="V4" s="44" t="n"/>
      <c r="W4" s="2" t="n"/>
    </row>
    <row r="5" ht="15.75" customHeight="1" s="45">
      <c r="B5" s="30" t="n">
        <v>46169</v>
      </c>
      <c r="C5" s="12">
        <f>IF(B5="","",TEXT(WEEKDAY(B5),"dddd"))</f>
        <v/>
      </c>
      <c r="D5" s="16" t="n"/>
      <c r="E5" s="13">
        <f>IF(D5="","",VLOOKUP(D5,
{0,240;101,260;126,280;151,300;176,320;201,340;226,360;251,380;276,400;301,420;326,440;351,460;376,480},
2,TRUE)
+IF(WEEKDAY(B5,2)=7,48,0))</f>
        <v/>
      </c>
      <c r="F5" s="17" t="n"/>
      <c r="G5" s="18" t="n"/>
      <c r="H5" s="15">
        <f>IF(OR(F5="",G5="",F5=0),"",G5/F5)</f>
        <v/>
      </c>
      <c r="I5" s="31">
        <f>IF(H5=1,20,IF(AND(H5&gt;=98%,H5&lt;100%),10,0))</f>
        <v/>
      </c>
      <c r="J5" s="32">
        <f>E5+I5</f>
        <v/>
      </c>
      <c r="K5" s="1" t="n"/>
      <c r="L5" s="1" t="n"/>
      <c r="M5" s="1" t="n"/>
      <c r="N5" s="1" t="n"/>
      <c r="O5" s="35" t="n"/>
      <c r="P5" s="35" t="n"/>
      <c r="Q5" s="33" t="n"/>
      <c r="R5" s="33" t="n"/>
      <c r="S5" s="34">
        <f>O5+P5+Q5+R5</f>
        <v/>
      </c>
      <c r="T5" s="1" t="n"/>
      <c r="U5" s="43">
        <f>SUM(J5-S5)</f>
        <v/>
      </c>
      <c r="V5" s="44" t="n"/>
      <c r="W5" s="2" t="n"/>
    </row>
    <row r="6" ht="15.75" customHeight="1" s="45">
      <c r="B6" s="30" t="n">
        <v>46170</v>
      </c>
      <c r="C6" s="12">
        <f>IF(B6="","",TEXT(WEEKDAY(B6),"dddd"))</f>
        <v/>
      </c>
      <c r="D6" s="16" t="n"/>
      <c r="E6" s="13">
        <f>IF(D6="","",VLOOKUP(D6,
{0,240;101,260;126,280;151,300;176,320;201,340;226,360;251,380;276,400;301,420;326,440;351,460;376,480},
2,TRUE)
+IF(WEEKDAY(B6,2)=7,48,0))</f>
        <v/>
      </c>
      <c r="F6" s="17" t="n"/>
      <c r="G6" s="18" t="n"/>
      <c r="H6" s="15">
        <f>IF(OR(F6="",G6="",F6=0),"",G6/F6)</f>
        <v/>
      </c>
      <c r="I6" s="31">
        <f>IF(H6=1,20,IF(AND(H6&gt;=98%,H6&lt;100%),10,0))</f>
        <v/>
      </c>
      <c r="J6" s="32">
        <f>E6+I6</f>
        <v/>
      </c>
      <c r="K6" s="1" t="n"/>
      <c r="L6" s="46" t="inlineStr">
        <is>
          <t>2ª Quizena</t>
        </is>
      </c>
      <c r="M6" s="47" t="n"/>
      <c r="N6" s="1" t="n"/>
      <c r="O6" s="35" t="n"/>
      <c r="P6" s="35" t="n"/>
      <c r="Q6" s="33" t="n"/>
      <c r="R6" s="33" t="n"/>
      <c r="S6" s="34">
        <f>O6+P6+Q6+R6</f>
        <v/>
      </c>
      <c r="T6" s="1" t="n"/>
      <c r="U6" s="43">
        <f>SUM(J6-S6)</f>
        <v/>
      </c>
      <c r="V6" s="44" t="n"/>
      <c r="W6" s="2" t="n"/>
    </row>
    <row r="7" ht="15.75" customHeight="1" s="45">
      <c r="B7" s="30" t="n">
        <v>46171</v>
      </c>
      <c r="C7" s="12">
        <f>IF(B7="","",TEXT(WEEKDAY(B7),"dddd"))</f>
        <v/>
      </c>
      <c r="D7" s="16" t="n"/>
      <c r="E7" s="13">
        <f>IF(D7="","",VLOOKUP(D7,
{0,240;101,260;126,280;151,300;176,320;201,340;226,360;251,380;276,400;301,420;326,440;351,460;376,480},
2,TRUE)
+IF(WEEKDAY(B7,2)=7,48,0))</f>
        <v/>
      </c>
      <c r="F7" s="17" t="n"/>
      <c r="G7" s="18" t="n"/>
      <c r="H7" s="15">
        <f>IF(OR(F7="",G7="",F7=0),"",G7/F7)</f>
        <v/>
      </c>
      <c r="I7" s="31">
        <f>IF(H7=1,20,IF(AND(H7&gt;=98%,H7&lt;100%),10,0))</f>
        <v/>
      </c>
      <c r="J7" s="32">
        <f>E7+I7</f>
        <v/>
      </c>
      <c r="K7" s="1" t="n"/>
      <c r="L7" s="48" t="n"/>
      <c r="M7" s="49" t="n"/>
      <c r="N7" s="1" t="n"/>
      <c r="O7" s="35" t="n"/>
      <c r="P7" s="35" t="n"/>
      <c r="Q7" s="33" t="n"/>
      <c r="R7" s="33" t="n"/>
      <c r="S7" s="34">
        <f>O7+P7+Q7+R7</f>
        <v/>
      </c>
      <c r="T7" s="1" t="n"/>
      <c r="U7" s="43">
        <f>SUM(J7-S7)</f>
        <v/>
      </c>
      <c r="V7" s="44" t="n"/>
      <c r="W7" s="2" t="n"/>
    </row>
    <row r="8" ht="15.75" customHeight="1" s="45">
      <c r="B8" s="30" t="n">
        <v>46172</v>
      </c>
      <c r="C8" s="12">
        <f>IF(B8="","",TEXT(WEEKDAY(B8),"dddd"))</f>
        <v/>
      </c>
      <c r="D8" s="16" t="n"/>
      <c r="E8" s="13">
        <f>IF(D8="","",VLOOKUP(D8,
{0,240;101,260;126,280;151,300;176,320;201,340;226,360;251,380;276,400;301,420;326,440;351,460;376,480},
2,TRUE)
+IF(WEEKDAY(B8,2)=7,48,0))</f>
        <v/>
      </c>
      <c r="F8" s="17" t="n"/>
      <c r="G8" s="18" t="n"/>
      <c r="H8" s="15">
        <f>IF(OR(F8="",G8="",F8=0),"",G8/F8)</f>
        <v/>
      </c>
      <c r="I8" s="31">
        <f>IF(H8=1,20,IF(AND(H8&gt;=98%,H8&lt;100%),10,0))</f>
        <v/>
      </c>
      <c r="J8" s="32">
        <f>E8+I8</f>
        <v/>
      </c>
      <c r="K8" s="1" t="n"/>
      <c r="L8" s="50">
        <f>J38+IF(AND(L36&gt;=13,L29&gt;=98%,L29&lt;=100%),600,0)</f>
        <v/>
      </c>
      <c r="M8" s="51" t="n"/>
      <c r="N8" s="1" t="n"/>
      <c r="O8" s="35" t="n"/>
      <c r="P8" s="35" t="n"/>
      <c r="Q8" s="33" t="n"/>
      <c r="R8" s="33" t="n"/>
      <c r="S8" s="34">
        <f>O8+P8+Q8+R8</f>
        <v/>
      </c>
      <c r="T8" s="1" t="n"/>
      <c r="U8" s="43">
        <f>SUM(J8-S8)</f>
        <v/>
      </c>
      <c r="V8" s="44" t="n"/>
      <c r="W8" s="2" t="n"/>
    </row>
    <row r="9" ht="15.75" customHeight="1" s="45">
      <c r="B9" s="30" t="n">
        <v>46173</v>
      </c>
      <c r="C9" s="12">
        <f>IF(B9="","",TEXT(WEEKDAY(B9),"dddd"))</f>
        <v/>
      </c>
      <c r="D9" s="16" t="n"/>
      <c r="E9" s="13">
        <f>IF(D9="","",VLOOKUP(D9,
{0,240;101,260;126,280;151,300;176,320;201,340;226,360;251,380;276,400;301,420;326,440;351,460;376,480},
2,TRUE)
+IF(WEEKDAY(B9,2)=7,48,0))</f>
        <v/>
      </c>
      <c r="F9" s="17" t="n"/>
      <c r="G9" s="18" t="n"/>
      <c r="H9" s="15">
        <f>IF(OR(F9="",G9="",F9=0),"",G9/F9)</f>
        <v/>
      </c>
      <c r="I9" s="31">
        <f>IF(H9=1,20,IF(AND(H9&gt;=98%,H9&lt;100%),10,0))</f>
        <v/>
      </c>
      <c r="J9" s="32">
        <f>E9+I9</f>
        <v/>
      </c>
      <c r="K9" s="1" t="n"/>
      <c r="L9" s="53" t="n"/>
      <c r="M9" s="54" t="n"/>
      <c r="N9" s="1" t="n"/>
      <c r="O9" s="35" t="n"/>
      <c r="P9" s="35" t="n"/>
      <c r="Q9" s="33" t="n"/>
      <c r="R9" s="33" t="n"/>
      <c r="S9" s="34">
        <f>O9+P9+Q9+R9</f>
        <v/>
      </c>
      <c r="T9" s="1" t="n"/>
      <c r="U9" s="43">
        <f>SUM(J9-S9)</f>
        <v/>
      </c>
      <c r="V9" s="44" t="n"/>
      <c r="W9" s="2" t="n"/>
    </row>
    <row r="10" ht="15.75" customHeight="1" s="45">
      <c r="B10" s="30" t="n">
        <v>46174</v>
      </c>
      <c r="C10" s="12">
        <f>IF(B10="","",TEXT(WEEKDAY(B10),"dddd"))</f>
        <v/>
      </c>
      <c r="D10" s="16" t="n"/>
      <c r="E10" s="13">
        <f>IF(D10="","",VLOOKUP(D10,
{0,240;101,260;126,280;151,300;176,320;201,340;226,360;251,380;276,400;301,420;326,440;351,460;376,480},
2,TRUE)
+IF(WEEKDAY(B10,2)=7,48,0))</f>
        <v/>
      </c>
      <c r="F10" s="17" t="n"/>
      <c r="G10" s="18" t="n"/>
      <c r="H10" s="15">
        <f>IF(OR(F10="",G10="",F10=0),"",G10/F10)</f>
        <v/>
      </c>
      <c r="I10" s="31">
        <f>IF(H10=1,20,IF(AND(H10&gt;=98%,H10&lt;100%),10,0))</f>
        <v/>
      </c>
      <c r="J10" s="32">
        <f>E10+I10</f>
        <v/>
      </c>
      <c r="K10" s="1" t="n"/>
      <c r="L10" s="1" t="n"/>
      <c r="M10" s="1" t="n"/>
      <c r="N10" s="1" t="n"/>
      <c r="O10" s="35" t="n"/>
      <c r="P10" s="35" t="n"/>
      <c r="Q10" s="33" t="n"/>
      <c r="R10" s="33" t="n"/>
      <c r="S10" s="34">
        <f>O10+P10+Q10+R10</f>
        <v/>
      </c>
      <c r="T10" s="1" t="n"/>
      <c r="U10" s="43">
        <f>SUM(J10-S10)</f>
        <v/>
      </c>
      <c r="V10" s="44" t="n"/>
      <c r="W10" s="2" t="n"/>
    </row>
    <row r="11" ht="15.75" customHeight="1" s="45">
      <c r="B11" s="30" t="n">
        <v>46175</v>
      </c>
      <c r="C11" s="12">
        <f>IF(B11="","",TEXT(WEEKDAY(B11),"dddd"))</f>
        <v/>
      </c>
      <c r="D11" s="16" t="n"/>
      <c r="E11" s="13">
        <f>IF(D11="","",VLOOKUP(D11,
{0,240;101,260;126,280;151,300;176,320;201,340;226,360;251,380;276,400;301,420;326,440;351,460;376,480},
2,TRUE)
+IF(WEEKDAY(B11,2)=7,48,0))</f>
        <v/>
      </c>
      <c r="F11" s="17" t="n"/>
      <c r="G11" s="18" t="n"/>
      <c r="H11" s="15">
        <f>IF(OR(F11="",G11="",F11=0),"",G11/F11)</f>
        <v/>
      </c>
      <c r="I11" s="31">
        <f>IF(H11=1,20,IF(AND(H11&gt;=98%,H11&lt;100%),10,0))</f>
        <v/>
      </c>
      <c r="J11" s="32">
        <f>E11+I11</f>
        <v/>
      </c>
      <c r="K11" s="1" t="n"/>
      <c r="L11" s="46" t="inlineStr">
        <is>
          <t>Total/Ganho</t>
        </is>
      </c>
      <c r="M11" s="47" t="n"/>
      <c r="N11" s="1" t="n"/>
      <c r="O11" s="35" t="n"/>
      <c r="P11" s="35" t="n"/>
      <c r="Q11" s="33" t="n"/>
      <c r="R11" s="33" t="n"/>
      <c r="S11" s="34">
        <f>O11+P11+Q11+R11</f>
        <v/>
      </c>
      <c r="T11" s="1" t="n"/>
      <c r="U11" s="43">
        <f>SUM(J11-S11)</f>
        <v/>
      </c>
      <c r="V11" s="44" t="n"/>
      <c r="W11" s="2" t="n"/>
    </row>
    <row r="12" ht="15.75" customHeight="1" s="45">
      <c r="B12" s="30" t="n">
        <v>46176</v>
      </c>
      <c r="C12" s="12">
        <f>IF(B12="","",TEXT(WEEKDAY(B12),"dddd"))</f>
        <v/>
      </c>
      <c r="D12" s="16" t="n"/>
      <c r="E12" s="13">
        <f>IF(D12="","",VLOOKUP(D12,
{0,240;101,260;126,280;151,300;176,320;201,340;226,360;251,380;276,400;301,420;326,440;351,460;376,480},
2,TRUE)
+IF(WEEKDAY(B12,2)=7,48,0))</f>
        <v/>
      </c>
      <c r="F12" s="17" t="n"/>
      <c r="G12" s="18" t="n"/>
      <c r="H12" s="15">
        <f>IF(OR(F12="",G12="",F12=0),"",G12/F12)</f>
        <v/>
      </c>
      <c r="I12" s="31">
        <f>IF(H12=1,20,IF(AND(H12&gt;=98%,H12&lt;100%),10,0))</f>
        <v/>
      </c>
      <c r="J12" s="32">
        <f>E12+I12</f>
        <v/>
      </c>
      <c r="K12" s="1" t="n"/>
      <c r="L12" s="48" t="n"/>
      <c r="M12" s="49" t="n"/>
      <c r="N12" s="1" t="n"/>
      <c r="O12" s="35" t="n"/>
      <c r="P12" s="35" t="n"/>
      <c r="Q12" s="33" t="n"/>
      <c r="R12" s="33" t="n"/>
      <c r="S12" s="34">
        <f>O12+P12+Q12+R12</f>
        <v/>
      </c>
      <c r="T12" s="1" t="n"/>
      <c r="U12" s="43">
        <f>SUM(J12-S12)</f>
        <v/>
      </c>
      <c r="V12" s="44" t="n"/>
      <c r="W12" s="2" t="n"/>
    </row>
    <row r="13" ht="15.75" customHeight="1" s="45">
      <c r="B13" s="30" t="n">
        <v>46177</v>
      </c>
      <c r="C13" s="12">
        <f>IF(B13="","",TEXT(WEEKDAY(B13),"dddd"))</f>
        <v/>
      </c>
      <c r="D13" s="16" t="n"/>
      <c r="E13" s="13">
        <f>IF(D13="","",VLOOKUP(D13,
{0,240;101,260;126,280;151,300;176,320;201,340;226,360;251,380;276,400;301,420;326,440;351,460;376,480},
2,TRUE)
+IF(WEEKDAY(B13,2)=7,48,0))</f>
        <v/>
      </c>
      <c r="F13" s="17" t="n"/>
      <c r="G13" s="18" t="n"/>
      <c r="H13" s="15">
        <f>IF(OR(F13="",G13="",F13=0),"",G13/F13)</f>
        <v/>
      </c>
      <c r="I13" s="31">
        <f>IF(H13=1,20,IF(AND(H13&gt;=98%,H13&lt;100%),10,0))</f>
        <v/>
      </c>
      <c r="J13" s="32">
        <f>E13+I13</f>
        <v/>
      </c>
      <c r="K13" s="1" t="n"/>
      <c r="L13" s="50">
        <f>SUM(L3+L8)</f>
        <v/>
      </c>
      <c r="M13" s="51" t="n"/>
      <c r="N13" s="1" t="n"/>
      <c r="O13" s="35" t="n"/>
      <c r="P13" s="35" t="n"/>
      <c r="Q13" s="33" t="n"/>
      <c r="R13" s="33" t="n"/>
      <c r="S13" s="34">
        <f>O13+P13+Q13+R13</f>
        <v/>
      </c>
      <c r="T13" s="1" t="n"/>
      <c r="U13" s="43">
        <f>SUM(J13-S13)</f>
        <v/>
      </c>
      <c r="V13" s="44" t="n"/>
      <c r="W13" s="2" t="n"/>
    </row>
    <row r="14" ht="15.75" customHeight="1" s="45">
      <c r="B14" s="30" t="n">
        <v>46178</v>
      </c>
      <c r="C14" s="12">
        <f>IF(B14="","",TEXT(WEEKDAY(B14),"dddd"))</f>
        <v/>
      </c>
      <c r="D14" s="16" t="n"/>
      <c r="E14" s="13">
        <f>IF(D14="","",VLOOKUP(D14,
{0,240;101,260;126,280;151,300;176,320;201,340;226,360;251,380;276,400;301,420;326,440;351,460;376,480},
2,TRUE)
+IF(WEEKDAY(B14,2)=7,48,0))</f>
        <v/>
      </c>
      <c r="F14" s="17" t="n"/>
      <c r="G14" s="18" t="n"/>
      <c r="H14" s="15">
        <f>IF(OR(F14="",G14="",F14=0),"",G14/F14)</f>
        <v/>
      </c>
      <c r="I14" s="31">
        <f>IF(H14=1,20,IF(AND(H14&gt;=98%,H14&lt;100%),10,0))</f>
        <v/>
      </c>
      <c r="J14" s="32">
        <f>E14+I14</f>
        <v/>
      </c>
      <c r="K14" s="1" t="n"/>
      <c r="L14" s="52" t="n"/>
      <c r="M14" s="51" t="n"/>
      <c r="N14" s="1" t="n"/>
      <c r="O14" s="35" t="n"/>
      <c r="P14" s="35" t="n"/>
      <c r="Q14" s="33" t="n"/>
      <c r="R14" s="33" t="n"/>
      <c r="S14" s="34">
        <f>O14+P14+Q14+R14</f>
        <v/>
      </c>
      <c r="T14" s="1" t="n"/>
      <c r="U14" s="43">
        <f>SUM(J14-S14)</f>
        <v/>
      </c>
      <c r="V14" s="44" t="n"/>
      <c r="W14" s="2" t="n"/>
    </row>
    <row r="15" ht="15.75" customHeight="1" s="45">
      <c r="B15" s="30" t="n">
        <v>46179</v>
      </c>
      <c r="C15" s="12">
        <f>IF(B15="","",TEXT(WEEKDAY(B15),"dddd"))</f>
        <v/>
      </c>
      <c r="D15" s="16" t="n"/>
      <c r="E15" s="13">
        <f>IF(D15="","",VLOOKUP(D15,
{0,240;101,260;126,280;151,300;176,320;201,340;226,360;251,380;276,400;301,420;326,440;351,460;376,480},
2,TRUE)
+IF(WEEKDAY(B15,2)=7,48,0))</f>
        <v/>
      </c>
      <c r="F15" s="17" t="n"/>
      <c r="G15" s="18" t="n"/>
      <c r="H15" s="15">
        <f>IF(OR(F15="",G15="",F15=0),"",G15/F15)</f>
        <v/>
      </c>
      <c r="I15" s="31">
        <f>IF(H15=1,20,IF(AND(H15&gt;=98%,H15&lt;100%),10,0))</f>
        <v/>
      </c>
      <c r="J15" s="32">
        <f>E15+I15</f>
        <v/>
      </c>
      <c r="K15" s="1" t="n"/>
      <c r="L15" s="53" t="n"/>
      <c r="M15" s="54" t="n"/>
      <c r="N15" s="1" t="n"/>
      <c r="O15" s="35" t="n"/>
      <c r="P15" s="35" t="n"/>
      <c r="Q15" s="33" t="n"/>
      <c r="R15" s="33" t="n"/>
      <c r="S15" s="34">
        <f>O15+P15+Q15+R15</f>
        <v/>
      </c>
      <c r="T15" s="1" t="n"/>
      <c r="U15" s="43">
        <f>SUM(J15-S15)</f>
        <v/>
      </c>
      <c r="V15" s="44" t="n"/>
      <c r="W15" s="2" t="n"/>
    </row>
    <row r="16" ht="15.75" customHeight="1" s="45">
      <c r="B16" s="30" t="n">
        <v>46180</v>
      </c>
      <c r="C16" s="12">
        <f>IF(B16="","",TEXT(WEEKDAY(B16),"dddd"))</f>
        <v/>
      </c>
      <c r="D16" s="16" t="n"/>
      <c r="E16" s="13">
        <f>IF(D16="","",VLOOKUP(D16,
{0,240;101,260;126,280;151,300;176,320;201,340;226,360;251,380;276,400;301,420;326,440;351,460;376,480},
2,TRUE)
+IF(WEEKDAY(B16,2)=7,48,0))</f>
        <v/>
      </c>
      <c r="F16" s="17" t="n"/>
      <c r="G16" s="18" t="n"/>
      <c r="H16" s="15">
        <f>IF(OR(F16="",G16="",F16=0),"",G16/F16)</f>
        <v/>
      </c>
      <c r="I16" s="31">
        <f>IF(H16=1,20,IF(AND(H16&gt;=98%,H16&lt;100%),10,0))</f>
        <v/>
      </c>
      <c r="J16" s="32">
        <f>E16+I16</f>
        <v/>
      </c>
      <c r="K16" s="1" t="n"/>
      <c r="L16" s="1" t="n"/>
      <c r="M16" s="1" t="n"/>
      <c r="N16" s="1" t="n"/>
      <c r="O16" s="35" t="n"/>
      <c r="P16" s="35" t="n"/>
      <c r="Q16" s="33" t="n"/>
      <c r="R16" s="33" t="n"/>
      <c r="S16" s="34">
        <f>O16+P16+Q16+R16</f>
        <v/>
      </c>
      <c r="T16" s="1" t="n"/>
      <c r="U16" s="43">
        <f>SUM(J16-S16)</f>
        <v/>
      </c>
      <c r="V16" s="44" t="n"/>
      <c r="W16" s="2" t="n"/>
    </row>
    <row r="17" ht="15.75" customHeight="1" s="45">
      <c r="B17" s="30" t="n">
        <v>46181</v>
      </c>
      <c r="C17" s="12">
        <f>IF(B17="","",TEXT(WEEKDAY(B17),"dddd"))</f>
        <v/>
      </c>
      <c r="D17" s="16" t="n"/>
      <c r="E17" s="13">
        <f>IF(D17="","",VLOOKUP(D17,
{0,240;101,260;126,280;151,300;176,320;201,340;226,360;251,380;276,400;301,420;326,440;351,460;376,480},
2,TRUE)
+IF(WEEKDAY(B17,2)=7,48,0))</f>
        <v/>
      </c>
      <c r="F17" s="17" t="n"/>
      <c r="G17" s="18" t="n"/>
      <c r="H17" s="15">
        <f>IF(OR(F17="",G17="",F17=0),"",G17/F17)</f>
        <v/>
      </c>
      <c r="I17" s="31">
        <f>IF(H17=1,20,IF(AND(H17&gt;=98%,H17&lt;100%),10,0))</f>
        <v/>
      </c>
      <c r="J17" s="32">
        <f>E17+I17</f>
        <v/>
      </c>
      <c r="K17" s="1" t="n"/>
      <c r="L17" s="46" t="inlineStr">
        <is>
          <t>Total/Gasto</t>
        </is>
      </c>
      <c r="M17" s="47" t="n"/>
      <c r="N17" s="1" t="n"/>
      <c r="O17" s="35" t="n"/>
      <c r="P17" s="35" t="n"/>
      <c r="Q17" s="33" t="n"/>
      <c r="R17" s="33" t="n"/>
      <c r="S17" s="34">
        <f>O17+P17+Q17+R17</f>
        <v/>
      </c>
      <c r="T17" s="1" t="n"/>
      <c r="U17" s="43">
        <f>SUM(J17-S17)</f>
        <v/>
      </c>
      <c r="V17" s="44" t="n"/>
      <c r="W17" s="2" t="n"/>
    </row>
    <row r="18" ht="15.75" customHeight="1" s="45">
      <c r="B18" s="30" t="n">
        <v>46182</v>
      </c>
      <c r="C18" s="12">
        <f>IF(B18="","",TEXT(WEEKDAY(B18),"dddd"))</f>
        <v/>
      </c>
      <c r="D18" s="16" t="n"/>
      <c r="E18" s="13">
        <f>IF(D18="","",VLOOKUP(D18,
{0,240;101,260;126,280;151,300;176,320;201,340;226,360;251,380;276,400;301,420;326,440;351,460;376,480},
2,TRUE)
+IF(WEEKDAY(B18,2)=7,48,0))</f>
        <v/>
      </c>
      <c r="F18" s="17" t="n"/>
      <c r="G18" s="18" t="n"/>
      <c r="H18" s="15">
        <f>IF(OR(F18="",G18="",F18=0),"",G18/F18)</f>
        <v/>
      </c>
      <c r="I18" s="31">
        <f>IF(H18=1,20,IF(AND(H18&gt;=98%,H18&lt;100%),10,0))</f>
        <v/>
      </c>
      <c r="J18" s="32">
        <f>E18+I18</f>
        <v/>
      </c>
      <c r="K18" s="1" t="n"/>
      <c r="L18" s="48" t="n"/>
      <c r="M18" s="49" t="n"/>
      <c r="N18" s="1" t="n"/>
      <c r="O18" s="35" t="n"/>
      <c r="P18" s="35" t="n"/>
      <c r="Q18" s="33" t="n"/>
      <c r="R18" s="33" t="n"/>
      <c r="S18" s="34">
        <f>O18+P18+Q18+R18</f>
        <v/>
      </c>
      <c r="T18" s="1" t="n"/>
      <c r="U18" s="43">
        <f>SUM(J18-S18)</f>
        <v/>
      </c>
      <c r="V18" s="44" t="n"/>
      <c r="W18" s="2" t="n"/>
    </row>
    <row r="19" ht="15.75" customHeight="1" s="45">
      <c r="B19" s="30" t="n">
        <v>46183</v>
      </c>
      <c r="C19" s="12">
        <f>IF(B19="","",TEXT(WEEKDAY(B19),"dddd"))</f>
        <v/>
      </c>
      <c r="D19" s="16" t="n"/>
      <c r="E19" s="13">
        <f>IF(D19="","",VLOOKUP(D19,
{0,240;101,260;126,280;151,300;176,320;201,340;226,360;251,380;276,400;301,420;326,440;351,460;376,480},
2,TRUE)
+IF(WEEKDAY(B19,2)=7,48,0))</f>
        <v/>
      </c>
      <c r="F19" s="17" t="n"/>
      <c r="G19" s="18" t="n"/>
      <c r="H19" s="15">
        <f>IF(OR(F19="",G19="",F19=0),"",G19/F19)</f>
        <v/>
      </c>
      <c r="I19" s="31">
        <f>IF(H19=1,20,IF(AND(H19&gt;=98%,H19&lt;100%),10,0))</f>
        <v/>
      </c>
      <c r="J19" s="32">
        <f>E19+I19</f>
        <v/>
      </c>
      <c r="K19" s="1" t="n"/>
      <c r="L19" s="57">
        <f>SUM(S4:S35)</f>
        <v/>
      </c>
      <c r="M19" s="51" t="n"/>
      <c r="N19" s="1" t="n"/>
      <c r="O19" s="35" t="n"/>
      <c r="P19" s="35" t="n"/>
      <c r="Q19" s="33" t="n"/>
      <c r="R19" s="33" t="n"/>
      <c r="S19" s="34">
        <f>O19+P19+Q19+R19</f>
        <v/>
      </c>
      <c r="T19" s="1" t="n"/>
      <c r="U19" s="43">
        <f>SUM(J19-S19)</f>
        <v/>
      </c>
      <c r="V19" s="44" t="n"/>
      <c r="W19" s="2" t="n"/>
    </row>
    <row r="20" ht="15.75" customHeight="1" s="45">
      <c r="A20" s="36" t="n"/>
      <c r="B20" s="37" t="n"/>
      <c r="C20" s="19" t="n"/>
      <c r="D20" s="20" t="n"/>
      <c r="E20" s="21" t="n"/>
      <c r="F20" s="22" t="n"/>
      <c r="G20" s="23" t="n"/>
      <c r="H20" s="24" t="n"/>
      <c r="I20" s="38" t="n"/>
      <c r="J20" s="25" t="n"/>
      <c r="K20" s="1" t="n"/>
      <c r="L20" s="52" t="n"/>
      <c r="M20" s="51" t="n"/>
      <c r="N20" s="1" t="n"/>
      <c r="O20" s="39" t="n"/>
      <c r="P20" s="39" t="n"/>
      <c r="Q20" s="40" t="n"/>
      <c r="R20" s="40" t="n"/>
      <c r="S20" s="40" t="n"/>
      <c r="T20" s="1" t="n"/>
      <c r="U20" s="59" t="n"/>
      <c r="V20" s="44" t="n"/>
      <c r="W20" s="2" t="n"/>
    </row>
    <row r="21" ht="15.75" customHeight="1" s="45">
      <c r="A21" s="64" t="n">
        <v>2</v>
      </c>
      <c r="B21" s="30" t="n">
        <v>46184</v>
      </c>
      <c r="C21" s="12">
        <f>IF(B21="","",TEXT(WEEKDAY(B21),"dddd"))</f>
        <v/>
      </c>
      <c r="D21" s="16" t="n">
        <v>257</v>
      </c>
      <c r="E21" s="13">
        <f>IF(D21="","",VLOOKUP(D21,
{0,240;101,260;126,280;151,300;176,320;201,340;226,360;251,380;276,400;301,420;326,440;351,460;376,480},
2,TRUE)
+IF(WEEKDAY(B21,2)=7,48,0))</f>
        <v/>
      </c>
      <c r="F21" s="17" t="n">
        <v>95</v>
      </c>
      <c r="G21" s="18" t="n">
        <v>95</v>
      </c>
      <c r="H21" s="15">
        <f>IF(OR(F21="",G21="",F21=0),"",G21/F21)</f>
        <v/>
      </c>
      <c r="I21" s="31">
        <f>IF(H21=1,20,IF(AND(H21&gt;=98%,H21&lt;100%),10,0))</f>
        <v/>
      </c>
      <c r="J21" s="32">
        <f>E21+I21</f>
        <v/>
      </c>
      <c r="K21" s="1" t="n"/>
      <c r="L21" s="53" t="n"/>
      <c r="M21" s="54" t="n"/>
      <c r="N21" s="1" t="n"/>
      <c r="O21" s="35" t="n">
        <v>100</v>
      </c>
      <c r="P21" s="35" t="n"/>
      <c r="Q21" s="33" t="n"/>
      <c r="R21" s="33" t="n"/>
      <c r="S21" s="34">
        <f>O21+P21+Q21+R21</f>
        <v/>
      </c>
      <c r="T21" s="1" t="n"/>
      <c r="U21" s="43">
        <f>SUM(J21-S21)</f>
        <v/>
      </c>
      <c r="V21" s="44" t="n"/>
      <c r="W21" s="2" t="n"/>
    </row>
    <row r="22" ht="15.75" customHeight="1" s="45">
      <c r="B22" s="30" t="n">
        <v>46185</v>
      </c>
      <c r="C22" s="12">
        <f>IF(B22="","",TEXT(WEEKDAY(B22),"dddd"))</f>
        <v/>
      </c>
      <c r="D22" s="16" t="n">
        <v>182</v>
      </c>
      <c r="E22" s="13">
        <f>IF(D22="","",VLOOKUP(D22,
{0,240;101,260;126,280;151,300;176,320;201,340;226,360;251,380;276,400;301,420;326,440;351,460;376,480},
2,TRUE)
+IF(WEEKDAY(B22,2)=7,48,0))</f>
        <v/>
      </c>
      <c r="F22" s="17" t="n">
        <v>53</v>
      </c>
      <c r="G22" s="18" t="n">
        <v>53</v>
      </c>
      <c r="H22" s="15">
        <f>IF(OR(F22="",G22="",F22=0),"",G22/F22)</f>
        <v/>
      </c>
      <c r="I22" s="31">
        <f>IF(H22=1,20,IF(AND(H22&gt;=98%,H22&lt;100%),10,0))</f>
        <v/>
      </c>
      <c r="J22" s="32">
        <f>E22+I22</f>
        <v/>
      </c>
      <c r="K22" s="1" t="n"/>
      <c r="L22" s="46" t="inlineStr">
        <is>
          <t>Total/Lucro</t>
        </is>
      </c>
      <c r="M22" s="47" t="n"/>
      <c r="N22" s="1" t="n"/>
      <c r="O22" s="35" t="n">
        <v>100</v>
      </c>
      <c r="P22" s="35" t="n"/>
      <c r="Q22" s="33" t="n"/>
      <c r="R22" s="33" t="n"/>
      <c r="S22" s="34">
        <f>O22+P22+Q22+R22</f>
        <v/>
      </c>
      <c r="T22" s="1" t="n"/>
      <c r="U22" s="43">
        <f>SUM(J22-S22)</f>
        <v/>
      </c>
      <c r="V22" s="44" t="n"/>
      <c r="W22" s="2" t="n"/>
    </row>
    <row r="23" ht="15.75" customHeight="1" s="45">
      <c r="B23" s="30" t="n">
        <v>46186</v>
      </c>
      <c r="C23" s="12">
        <f>IF(B23="","",TEXT(WEEKDAY(B23),"dddd"))</f>
        <v/>
      </c>
      <c r="D23" s="16" t="n"/>
      <c r="E23" s="13">
        <f>IF(D23="","",VLOOKUP(D23,
{0,240;101,260;126,280;151,300;176,320;201,340;226,360;251,380;276,400;301,420;326,440;351,460;376,480},
2,TRUE)
+IF(WEEKDAY(B23,2)=7,48,0))</f>
        <v/>
      </c>
      <c r="F23" s="17" t="n"/>
      <c r="G23" s="18" t="n"/>
      <c r="H23" s="15">
        <f>IF(OR(F23="",G23="",F23=0),"",G23/F23)</f>
        <v/>
      </c>
      <c r="I23" s="31">
        <f>IF(H23=1,20,IF(AND(H23&gt;=98%,H23&lt;100%),10,0))</f>
        <v/>
      </c>
      <c r="J23" s="32">
        <f>E23+I23</f>
        <v/>
      </c>
      <c r="K23" s="1" t="n"/>
      <c r="L23" s="48" t="n"/>
      <c r="M23" s="49" t="n"/>
      <c r="N23" s="1" t="n"/>
      <c r="O23" s="35" t="n"/>
      <c r="P23" s="35" t="n"/>
      <c r="Q23" s="33" t="n"/>
      <c r="R23" s="33" t="n"/>
      <c r="S23" s="34">
        <f>O23+P23+Q23+R23</f>
        <v/>
      </c>
      <c r="T23" s="1" t="n"/>
      <c r="U23" s="43">
        <f>SUM(J23-S23)</f>
        <v/>
      </c>
      <c r="V23" s="44" t="n"/>
      <c r="W23" s="2" t="n"/>
    </row>
    <row r="24" ht="15.75" customHeight="1" s="45">
      <c r="B24" s="30" t="n">
        <v>46187</v>
      </c>
      <c r="C24" s="12">
        <f>IF(B24="","",TEXT(WEEKDAY(B24),"dddd"))</f>
        <v/>
      </c>
      <c r="D24" s="16" t="n">
        <v>171</v>
      </c>
      <c r="E24" s="13">
        <f>IF(D24="","",VLOOKUP(D24,
{0,240;101,260;126,280;151,300;176,320;201,340;226,360;251,380;276,400;301,420;326,440;351,460;376,480},
2,TRUE)
+IF(WEEKDAY(B24,2)=7,48,0))</f>
        <v/>
      </c>
      <c r="F24" s="17" t="n">
        <v>38</v>
      </c>
      <c r="G24" s="18" t="n">
        <v>38</v>
      </c>
      <c r="H24" s="15">
        <f>IF(OR(F24="",G24="",F24=0),"",G24/F24)</f>
        <v/>
      </c>
      <c r="I24" s="31">
        <f>IF(H24=1,20,IF(AND(H24&gt;=98%,H24&lt;100%),10,0))</f>
        <v/>
      </c>
      <c r="J24" s="32">
        <f>E24+I24</f>
        <v/>
      </c>
      <c r="K24" s="1" t="n"/>
      <c r="L24" s="60">
        <f>SUM(L13-L19)</f>
        <v/>
      </c>
      <c r="M24" s="51" t="n"/>
      <c r="N24" s="1" t="n"/>
      <c r="O24" s="35" t="n">
        <v>100</v>
      </c>
      <c r="P24" s="35" t="n"/>
      <c r="Q24" s="33" t="n"/>
      <c r="R24" s="33" t="n"/>
      <c r="S24" s="34">
        <f>O24+P24+Q24+R24</f>
        <v/>
      </c>
      <c r="T24" s="1" t="n"/>
      <c r="U24" s="43">
        <f>SUM(J24-S24)</f>
        <v/>
      </c>
      <c r="V24" s="44" t="n"/>
      <c r="W24" s="2" t="n"/>
    </row>
    <row r="25" ht="15.75" customHeight="1" s="45">
      <c r="B25" s="30" t="n">
        <v>46188</v>
      </c>
      <c r="C25" s="12">
        <f>IF(B25="","",TEXT(WEEKDAY(B25),"dddd"))</f>
        <v/>
      </c>
      <c r="D25" s="16" t="n"/>
      <c r="E25" s="13">
        <f>IF(D25="","",VLOOKUP(D25,
{0,240;101,260;126,280;151,300;176,320;201,340;226,360;251,380;276,400;301,420;326,440;351,460;376,480},
2,TRUE)
+IF(WEEKDAY(B25,2)=7,48,0))</f>
        <v/>
      </c>
      <c r="F25" s="17" t="n"/>
      <c r="G25" s="18" t="n"/>
      <c r="H25" s="15">
        <f>IF(OR(F25="",G25="",F25=0),"",G25/F25)</f>
        <v/>
      </c>
      <c r="I25" s="31">
        <f>IF(H25=1,20,IF(AND(H25&gt;=98%,H25&lt;100%),10,0))</f>
        <v/>
      </c>
      <c r="J25" s="32">
        <f>E25+I25</f>
        <v/>
      </c>
      <c r="K25" s="1" t="n"/>
      <c r="L25" s="53" t="n"/>
      <c r="M25" s="54" t="n"/>
      <c r="N25" s="1" t="n"/>
      <c r="O25" s="35" t="n"/>
      <c r="P25" s="35" t="n"/>
      <c r="Q25" s="33" t="n"/>
      <c r="R25" s="33" t="n"/>
      <c r="S25" s="34">
        <f>O25+P25+Q25+R25</f>
        <v/>
      </c>
      <c r="T25" s="1" t="n"/>
      <c r="U25" s="43">
        <f>SUM(J25-S25)</f>
        <v/>
      </c>
      <c r="V25" s="44" t="n"/>
      <c r="W25" s="2" t="n"/>
    </row>
    <row r="26" ht="15.75" customHeight="1" s="45">
      <c r="B26" s="30" t="n">
        <v>46189</v>
      </c>
      <c r="C26" s="12">
        <f>IF(B26="","",TEXT(WEEKDAY(B26),"dddd"))</f>
        <v/>
      </c>
      <c r="D26" s="16" t="n"/>
      <c r="E26" s="13">
        <f>IF(D26="","",VLOOKUP(D26,
{0,240;101,260;126,280;151,300;176,320;201,340;226,360;251,380;276,400;301,420;326,440;351,460;376,480},
2,TRUE)
+IF(WEEKDAY(B26,2)=7,48,0))</f>
        <v/>
      </c>
      <c r="F26" s="17" t="n"/>
      <c r="G26" s="18" t="n"/>
      <c r="H26" s="15">
        <f>IF(OR(F26="",G26="",F26=0),"",G26/F26)</f>
        <v/>
      </c>
      <c r="I26" s="31">
        <f>IF(H26=1,20,IF(AND(H26&gt;=98%,H26&lt;100%),10,0))</f>
        <v/>
      </c>
      <c r="J26" s="32">
        <f>E26+I26</f>
        <v/>
      </c>
      <c r="K26" s="1" t="n"/>
      <c r="L26" s="1" t="n"/>
      <c r="M26" s="1" t="n"/>
      <c r="N26" s="1" t="n"/>
      <c r="O26" s="35" t="n"/>
      <c r="P26" s="35" t="n"/>
      <c r="Q26" s="33" t="n"/>
      <c r="R26" s="33" t="n"/>
      <c r="S26" s="34">
        <f>O26+P26+Q26+R26</f>
        <v/>
      </c>
      <c r="T26" s="1" t="n"/>
      <c r="U26" s="43">
        <f>SUM(J26-S26)</f>
        <v/>
      </c>
      <c r="V26" s="44" t="n"/>
      <c r="W26" s="2" t="n"/>
    </row>
    <row r="27" ht="15.75" customHeight="1" s="45">
      <c r="B27" s="30" t="n">
        <v>46190</v>
      </c>
      <c r="C27" s="12">
        <f>IF(B27="","",TEXT(WEEKDAY(B27),"dddd"))</f>
        <v/>
      </c>
      <c r="D27" s="16" t="n"/>
      <c r="E27" s="13">
        <f>IF(D27="","",VLOOKUP(D27,
{0,240;101,260;126,280;151,300;176,320;201,340;226,360;251,380;276,400;301,420;326,440;351,460;376,480},
2,TRUE)
+IF(WEEKDAY(B27,2)=7,48,0))</f>
        <v/>
      </c>
      <c r="F27" s="17" t="n"/>
      <c r="G27" s="18" t="n"/>
      <c r="H27" s="15">
        <f>IF(OR(F27="",G27="",F27=0),"",G27/F27)</f>
        <v/>
      </c>
      <c r="I27" s="31">
        <f>IF(H27=1,20,IF(AND(H27&gt;=98%,H27&lt;100%),10,0))</f>
        <v/>
      </c>
      <c r="J27" s="32">
        <f>E27+I27</f>
        <v/>
      </c>
      <c r="K27" s="1" t="n"/>
      <c r="L27" s="66" t="inlineStr">
        <is>
          <t>1ª bônus 600</t>
        </is>
      </c>
      <c r="M27" s="56" t="n"/>
      <c r="N27" s="1" t="n"/>
      <c r="O27" s="35" t="n"/>
      <c r="P27" s="35" t="n"/>
      <c r="Q27" s="33" t="n"/>
      <c r="R27" s="33" t="n"/>
      <c r="S27" s="34">
        <f>O27+P27+Q27+R27</f>
        <v/>
      </c>
      <c r="T27" s="1" t="n"/>
      <c r="U27" s="43">
        <f>SUM(J27-S27)</f>
        <v/>
      </c>
      <c r="V27" s="44" t="n"/>
      <c r="W27" s="2" t="n"/>
    </row>
    <row r="28" ht="15.75" customHeight="1" s="45">
      <c r="B28" s="30" t="n">
        <v>46191</v>
      </c>
      <c r="C28" s="12">
        <f>IF(B28="","",TEXT(WEEKDAY(B28),"dddd"))</f>
        <v/>
      </c>
      <c r="D28" s="16" t="n"/>
      <c r="E28" s="13">
        <f>IF(D28="","",VLOOKUP(D28,
{0,240;101,260;126,280;151,300;176,320;201,340;226,360;251,380;276,400;301,420;326,440;351,460;376,480},
2,TRUE)
+IF(WEEKDAY(B28,2)=7,48,0))</f>
        <v/>
      </c>
      <c r="F28" s="17" t="n"/>
      <c r="G28" s="18" t="n"/>
      <c r="H28" s="15">
        <f>IF(OR(F28="",G28="",F28=0),"",G28/F28)</f>
        <v/>
      </c>
      <c r="I28" s="31">
        <f>IF(H28=1,20,IF(AND(H28&gt;=98%,H28&lt;100%),10,0))</f>
        <v/>
      </c>
      <c r="J28" s="32">
        <f>E28+I28</f>
        <v/>
      </c>
      <c r="K28" s="1" t="n"/>
      <c r="L28" s="53" t="n"/>
      <c r="M28" s="54" t="n"/>
      <c r="N28" s="1" t="n"/>
      <c r="O28" s="35" t="n"/>
      <c r="P28" s="35" t="n"/>
      <c r="Q28" s="33" t="n"/>
      <c r="R28" s="33" t="n"/>
      <c r="S28" s="34">
        <f>O28+P28+Q28+R28</f>
        <v/>
      </c>
      <c r="T28" s="1" t="n"/>
      <c r="U28" s="43">
        <f>SUM(J28-S28)</f>
        <v/>
      </c>
      <c r="V28" s="44" t="n"/>
      <c r="W28" s="2" t="n"/>
    </row>
    <row r="29" ht="15.75" customHeight="1" s="45">
      <c r="B29" s="30" t="n">
        <v>46192</v>
      </c>
      <c r="C29" s="12">
        <f>IF(B29="","",TEXT(WEEKDAY(B29),"dddd"))</f>
        <v/>
      </c>
      <c r="D29" s="16" t="n"/>
      <c r="E29" s="13">
        <f>IF(D29="","",VLOOKUP(D29,
{0,240;101,260;126,280;151,300;176,320;201,340;226,360;251,380;276,400;301,420;326,440;351,460;376,480},
2,TRUE)
+IF(WEEKDAY(B29,2)=7,48,0))</f>
        <v/>
      </c>
      <c r="F29" s="17" t="n"/>
      <c r="G29" s="18" t="n"/>
      <c r="H29" s="15">
        <f>IF(OR(F29="",G29="",F29=0),"",G29/F29)</f>
        <v/>
      </c>
      <c r="I29" s="31">
        <f>IF(H29=1,20,IF(AND(H29&gt;=98%,H29&lt;100%),10,0))</f>
        <v/>
      </c>
      <c r="J29" s="32">
        <f>E29+I29</f>
        <v/>
      </c>
      <c r="K29" s="1" t="n"/>
      <c r="L29" s="55">
        <f>IF(OR(F37="",G37="",F37=0),"",G37/F37)</f>
        <v/>
      </c>
      <c r="M29" s="56" t="n"/>
      <c r="N29" s="1" t="n"/>
      <c r="O29" s="35" t="n"/>
      <c r="P29" s="35" t="n"/>
      <c r="Q29" s="33" t="n"/>
      <c r="R29" s="33" t="n"/>
      <c r="S29" s="34">
        <f>O29+P29+Q29+R29</f>
        <v/>
      </c>
      <c r="T29" s="1" t="n"/>
      <c r="U29" s="43">
        <f>SUM(J29-S29)</f>
        <v/>
      </c>
      <c r="V29" s="44" t="n"/>
      <c r="W29" s="2" t="n"/>
    </row>
    <row r="30" ht="15.75" customHeight="1" s="45">
      <c r="B30" s="30" t="n">
        <v>46193</v>
      </c>
      <c r="C30" s="12">
        <f>IF(B30="","",TEXT(WEEKDAY(B30),"dddd"))</f>
        <v/>
      </c>
      <c r="D30" s="16" t="n"/>
      <c r="E30" s="13">
        <f>IF(D30="","",VLOOKUP(D30,
{0,240;101,260;126,280;151,300;176,320;201,340;226,360;251,380;276,400;301,420;326,440;351,460;376,480},
2,TRUE)
+IF(WEEKDAY(B30,2)=7,48,0))</f>
        <v/>
      </c>
      <c r="F30" s="17" t="n"/>
      <c r="G30" s="18" t="n"/>
      <c r="H30" s="15">
        <f>IF(OR(F30="",G30="",F30=0),"",G30/F30)</f>
        <v/>
      </c>
      <c r="I30" s="31">
        <f>IF(H30=1,20,IF(AND(H30&gt;=98%,H30&lt;100%),10,0))</f>
        <v/>
      </c>
      <c r="J30" s="32">
        <f>E30+I30</f>
        <v/>
      </c>
      <c r="K30" s="1" t="n"/>
      <c r="L30" s="53" t="n"/>
      <c r="M30" s="54" t="n"/>
      <c r="N30" s="1" t="n"/>
      <c r="O30" s="35" t="n"/>
      <c r="P30" s="35" t="n"/>
      <c r="Q30" s="33" t="n"/>
      <c r="R30" s="33" t="n"/>
      <c r="S30" s="34">
        <f>O30+P30+Q30+R30</f>
        <v/>
      </c>
      <c r="T30" s="1" t="n"/>
      <c r="U30" s="43">
        <f>SUM(J30-S30)</f>
        <v/>
      </c>
      <c r="V30" s="44" t="n"/>
      <c r="W30" s="2" t="n"/>
    </row>
    <row r="31" ht="15.75" customHeight="1" s="45">
      <c r="B31" s="30" t="n">
        <v>46194</v>
      </c>
      <c r="C31" s="12">
        <f>IF(B31="","",TEXT(WEEKDAY(B31),"dddd"))</f>
        <v/>
      </c>
      <c r="D31" s="16" t="n">
        <v>190</v>
      </c>
      <c r="E31" s="13">
        <f>IF(D31="","",VLOOKUP(D31,
{0,240;101,260;126,280;151,300;176,320;201,340;226,360;251,380;276,400;301,420;326,440;351,460;376,480},
2,TRUE)
+IF(WEEKDAY(B31,2)=7,48,0))</f>
        <v/>
      </c>
      <c r="F31" s="17" t="n">
        <v>52</v>
      </c>
      <c r="G31" s="18" t="n">
        <v>52</v>
      </c>
      <c r="H31" s="15">
        <f>IF(OR(F31="",G31="",F31=0),"",G31/F31)</f>
        <v/>
      </c>
      <c r="I31" s="31">
        <f>IF(H31=1,20,IF(AND(H31&gt;=98%,H31&lt;100%),10,0))</f>
        <v/>
      </c>
      <c r="J31" s="32">
        <f>E31+I31</f>
        <v/>
      </c>
      <c r="K31" s="1" t="n"/>
      <c r="L31" s="58">
        <f>COUNTIF(D4:D19,"&gt;0")</f>
        <v/>
      </c>
      <c r="N31" s="1" t="n"/>
      <c r="O31" s="35" t="n">
        <v>100</v>
      </c>
      <c r="P31" s="35" t="n"/>
      <c r="Q31" s="33" t="n"/>
      <c r="R31" s="33" t="n"/>
      <c r="S31" s="34">
        <f>O31+P31+Q31+R31</f>
        <v/>
      </c>
      <c r="T31" s="1" t="n"/>
      <c r="U31" s="43">
        <f>SUM(J31-S31)</f>
        <v/>
      </c>
      <c r="V31" s="44" t="n"/>
      <c r="W31" s="2" t="n"/>
    </row>
    <row r="32" ht="15.75" customHeight="1" s="45">
      <c r="B32" s="30" t="n">
        <v>46195</v>
      </c>
      <c r="C32" s="12">
        <f>IF(B32="","",TEXT(WEEKDAY(B32),"dddd"))</f>
        <v/>
      </c>
      <c r="D32" s="16" t="n"/>
      <c r="E32" s="13">
        <f>IF(D32="","",VLOOKUP(D32,
{0,240;101,260;126,280;151,300;176,320;201,340;226,360;251,380;276,400;301,420;326,440;351,460;376,480},
2,TRUE)
+IF(WEEKDAY(B32,2)=7,48,0))</f>
        <v/>
      </c>
      <c r="F32" s="17" t="n"/>
      <c r="G32" s="18" t="n"/>
      <c r="H32" s="15">
        <f>IF(OR(F32="",G32="",F32=0),"",G32/F32)</f>
        <v/>
      </c>
      <c r="I32" s="31">
        <f>IF(H32=1,20,IF(AND(H32&gt;=98%,H32&lt;100%),10,0))</f>
        <v/>
      </c>
      <c r="J32" s="32">
        <f>E32+I32</f>
        <v/>
      </c>
      <c r="K32" s="1" t="n"/>
      <c r="L32" s="66" t="inlineStr">
        <is>
          <t>2ª bônus 600</t>
        </is>
      </c>
      <c r="M32" s="56" t="n"/>
      <c r="N32" s="1" t="n"/>
      <c r="O32" s="35" t="n"/>
      <c r="P32" s="35" t="n"/>
      <c r="Q32" s="33" t="n"/>
      <c r="R32" s="33" t="n"/>
      <c r="S32" s="34">
        <f>O32+P32+Q32+R32</f>
        <v/>
      </c>
      <c r="T32" s="1" t="n"/>
      <c r="U32" s="43">
        <f>SUM(J32-S32)</f>
        <v/>
      </c>
      <c r="V32" s="44" t="n"/>
      <c r="W32" s="2" t="n"/>
    </row>
    <row r="33" ht="15.75" customHeight="1" s="45">
      <c r="B33" s="30" t="n">
        <v>46196</v>
      </c>
      <c r="C33" s="12">
        <f>IF(B33="","",TEXT(WEEKDAY(B33),"dddd"))</f>
        <v/>
      </c>
      <c r="D33" s="16" t="n"/>
      <c r="E33" s="13">
        <f>IF(D33="","",VLOOKUP(D33,
{0,240;101,260;126,280;151,300;176,320;201,340;226,360;251,380;276,400;301,420;326,440;351,460;376,480},
2,TRUE)
+IF(WEEKDAY(B33,2)=7,48,0))</f>
        <v/>
      </c>
      <c r="F33" s="17" t="n"/>
      <c r="G33" s="18" t="n"/>
      <c r="H33" s="15">
        <f>IF(OR(F33="",G33="",F33=0),"",G33/F33)</f>
        <v/>
      </c>
      <c r="I33" s="31">
        <f>IF(H33=1,20,IF(AND(H33&gt;=98%,H33&lt;100%),10,0))</f>
        <v/>
      </c>
      <c r="J33" s="32">
        <f>E33+I33</f>
        <v/>
      </c>
      <c r="K33" s="1" t="n"/>
      <c r="L33" s="53" t="n"/>
      <c r="M33" s="54" t="n"/>
      <c r="N33" s="1" t="n"/>
      <c r="O33" s="35" t="n"/>
      <c r="P33" s="35" t="n"/>
      <c r="Q33" s="33" t="n"/>
      <c r="R33" s="33" t="n"/>
      <c r="S33" s="34">
        <f>O33+P33+Q33+R33</f>
        <v/>
      </c>
      <c r="T33" s="1" t="n"/>
      <c r="U33" s="43">
        <f>SUM(J33-S33)</f>
        <v/>
      </c>
      <c r="V33" s="44" t="n"/>
      <c r="W33" s="2" t="n"/>
    </row>
    <row r="34" ht="15.75" customHeight="1" s="45">
      <c r="B34" s="30" t="n">
        <v>46197</v>
      </c>
      <c r="C34" s="12">
        <f>IF(B34="","",TEXT(WEEKDAY(B34),"dddd"))</f>
        <v/>
      </c>
      <c r="D34" s="16" t="n"/>
      <c r="E34" s="13">
        <f>IF(D34="","",VLOOKUP(D34,
{0,240;101,260;126,280;151,300;176,320;201,340;226,360;251,380;276,400;301,420;326,440;351,460;376,480},
2,TRUE)
+IF(WEEKDAY(B34,2)=7,48,0))</f>
        <v/>
      </c>
      <c r="F34" s="17" t="n"/>
      <c r="G34" s="18" t="n"/>
      <c r="H34" s="15">
        <f>IF(OR(F34="",G34="",F34=0),"",G34/F34)</f>
        <v/>
      </c>
      <c r="I34" s="31">
        <f>IF(H34=1,20,IF(AND(H34&gt;=98%,H34&lt;100%),10,0))</f>
        <v/>
      </c>
      <c r="J34" s="32">
        <f>E34+I34</f>
        <v/>
      </c>
      <c r="K34" s="1" t="n"/>
      <c r="L34" s="55">
        <f>IF(OR(F38="",G38="",F38=0),"",G38/F38)</f>
        <v/>
      </c>
      <c r="M34" s="56" t="n"/>
      <c r="N34" s="1" t="n"/>
      <c r="O34" s="35" t="n"/>
      <c r="P34" s="35" t="n"/>
      <c r="Q34" s="33" t="n"/>
      <c r="R34" s="33" t="n"/>
      <c r="S34" s="34">
        <f>O34+P34+Q34+R34</f>
        <v/>
      </c>
      <c r="T34" s="1" t="n"/>
      <c r="U34" s="43">
        <f>SUM(J34-S34)</f>
        <v/>
      </c>
      <c r="V34" s="44" t="n"/>
      <c r="W34" s="2" t="n"/>
    </row>
    <row r="35" ht="15.75" customHeight="1" s="45">
      <c r="B35" s="30" t="n">
        <v>46198</v>
      </c>
      <c r="C35" s="12">
        <f>IF(B35="","",TEXT(WEEKDAY(B35),"dddd"))</f>
        <v/>
      </c>
      <c r="D35" s="16" t="n"/>
      <c r="E35" s="13">
        <f>IF(D35="","",VLOOKUP(D35,
{0,240;101,260;126,280;151,300;176,320;201,340;226,360;251,380;276,400;301,420;326,440;351,460;376,480},
2,TRUE)
+IF(WEEKDAY(B35,2)=7,48,0))</f>
        <v/>
      </c>
      <c r="F35" s="26" t="n"/>
      <c r="G35" s="27" t="n"/>
      <c r="H35" s="15">
        <f>IF(OR(F35="",G35="",F35=0),"",G35/F35)</f>
        <v/>
      </c>
      <c r="I35" s="31">
        <f>IF(H35=1,20,IF(AND(H35&gt;=98%,H35&lt;100%),10,0))</f>
        <v/>
      </c>
      <c r="J35" s="32">
        <f>E35+I35</f>
        <v/>
      </c>
      <c r="K35" s="1" t="n"/>
      <c r="L35" s="53" t="n"/>
      <c r="M35" s="54" t="n"/>
      <c r="N35" s="1" t="n"/>
      <c r="O35" s="35" t="n"/>
      <c r="P35" s="35" t="n"/>
      <c r="Q35" s="33" t="n"/>
      <c r="R35" s="33" t="n"/>
      <c r="S35" s="34">
        <f>O35+P35+Q35+R35</f>
        <v/>
      </c>
      <c r="T35" s="1" t="n"/>
      <c r="U35" s="43">
        <f>SUM(J35-S35)</f>
        <v/>
      </c>
      <c r="V35" s="44" t="n"/>
      <c r="W35" s="2" t="n"/>
    </row>
    <row r="36" ht="15.75" customHeight="1" s="4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69">
        <f>COUNTIF(D21:D35,"&gt;0")</f>
        <v/>
      </c>
      <c r="N36" s="1" t="n"/>
      <c r="O36" s="1" t="n"/>
      <c r="P36" s="1" t="n"/>
      <c r="Q36" s="1" t="n"/>
      <c r="R36" s="1" t="n"/>
      <c r="S36" s="1" t="n"/>
      <c r="T36" s="1" t="n"/>
      <c r="U36" s="65" t="n"/>
      <c r="V36" s="44" t="n"/>
      <c r="W36" s="2" t="n"/>
    </row>
    <row r="37" ht="15.75" customHeight="1" s="45">
      <c r="F37" s="28">
        <f>SUM(F4:F19)</f>
        <v/>
      </c>
      <c r="G37" s="28">
        <f>SUM(G4:G19)</f>
        <v/>
      </c>
      <c r="J37" s="41">
        <f>SUM(J4:J19)</f>
        <v/>
      </c>
      <c r="L37" s="29" t="n"/>
    </row>
    <row r="38" ht="15.75" customHeight="1" s="45">
      <c r="F38" s="28">
        <f>SUM(F21:F35)</f>
        <v/>
      </c>
      <c r="G38" s="28">
        <f>SUM(G21:G35)</f>
        <v/>
      </c>
      <c r="J38" s="41">
        <f>SUM(J21:J35)</f>
        <v/>
      </c>
    </row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  <row r="1001" ht="15.75" customHeight="1" s="45"/>
  </sheetData>
  <mergeCells count="85">
    <mergeCell ref="U31:V31"/>
    <mergeCell ref="U40:V40"/>
    <mergeCell ref="U15:V15"/>
    <mergeCell ref="U65:V65"/>
    <mergeCell ref="L22:M23"/>
    <mergeCell ref="L13:M15"/>
    <mergeCell ref="L34:M35"/>
    <mergeCell ref="L6:M7"/>
    <mergeCell ref="L19:M21"/>
    <mergeCell ref="U16:V16"/>
    <mergeCell ref="U57:V57"/>
    <mergeCell ref="U33:V33"/>
    <mergeCell ref="U28:V28"/>
    <mergeCell ref="U42:V42"/>
    <mergeCell ref="L31:M31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A4:A19"/>
    <mergeCell ref="U48:V48"/>
    <mergeCell ref="U32:V32"/>
    <mergeCell ref="L11:M12"/>
    <mergeCell ref="U41:V41"/>
    <mergeCell ref="U13:V13"/>
    <mergeCell ref="U7:V7"/>
    <mergeCell ref="U47:V47"/>
    <mergeCell ref="U56:V56"/>
    <mergeCell ref="U43:V43"/>
    <mergeCell ref="U24:V24"/>
    <mergeCell ref="U18:V18"/>
    <mergeCell ref="U58:V58"/>
    <mergeCell ref="U8:V8"/>
    <mergeCell ref="U63:V63"/>
    <mergeCell ref="U10:V10"/>
    <mergeCell ref="U50:V50"/>
    <mergeCell ref="U19:V19"/>
    <mergeCell ref="U44:V44"/>
    <mergeCell ref="U34:V34"/>
    <mergeCell ref="U9:V9"/>
    <mergeCell ref="U49:V49"/>
    <mergeCell ref="L1:M2"/>
    <mergeCell ref="U36:V36"/>
    <mergeCell ref="U30:V30"/>
    <mergeCell ref="U45:V45"/>
    <mergeCell ref="L27:M28"/>
    <mergeCell ref="U37:V37"/>
    <mergeCell ref="A21:A35"/>
    <mergeCell ref="L17:M18"/>
    <mergeCell ref="U12:V12"/>
    <mergeCell ref="U21:V21"/>
    <mergeCell ref="U62:V62"/>
    <mergeCell ref="U55:V55"/>
    <mergeCell ref="L3:M4"/>
    <mergeCell ref="U64:V64"/>
    <mergeCell ref="U51:V51"/>
    <mergeCell ref="U1:V3"/>
    <mergeCell ref="U26:V26"/>
    <mergeCell ref="U35:V35"/>
    <mergeCell ref="L29:M30"/>
    <mergeCell ref="U27:V27"/>
    <mergeCell ref="U17:V17"/>
    <mergeCell ref="U11:V11"/>
    <mergeCell ref="U25:V25"/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</mergeCells>
  <conditionalFormatting sqref="C4:C35">
    <cfRule type="beginsWith" priority="1" operator="beginsWith" dxfId="0" text="d">
      <formula>LEFT((C4),LEN("d"))=("d")</formula>
    </cfRule>
  </conditionalFormatting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67"/>
  <sheetViews>
    <sheetView workbookViewId="0">
      <selection activeCell="A1" sqref="A1"/>
    </sheetView>
  </sheetViews>
  <sheetFormatPr baseColWidth="8" defaultColWidth="12.5703125" defaultRowHeight="15" customHeight="1"/>
  <cols>
    <col width="8.7109375" customWidth="1" style="45" min="1" max="1"/>
    <col width="12.5703125" customWidth="1" style="45" min="2" max="4"/>
    <col width="12.7109375" customWidth="1" style="45" min="5" max="5"/>
    <col width="12.5703125" customWidth="1" style="45" min="6" max="6"/>
    <col width="4.42578125" customWidth="1" style="45" min="11" max="11"/>
    <col width="4.140625" customWidth="1" style="45" min="14" max="14"/>
    <col width="4.28515625" customWidth="1" style="45" min="20" max="20"/>
    <col width="4.140625" customWidth="1" style="45" min="23" max="23"/>
  </cols>
  <sheetData>
    <row r="1" ht="15.75" customHeight="1" s="45">
      <c r="A1" s="1" t="n"/>
      <c r="B1" s="1" t="n"/>
      <c r="C1" s="68" t="inlineStr">
        <is>
          <t>planilha de ganhos Ac2</t>
        </is>
      </c>
      <c r="D1" s="62" t="n"/>
      <c r="E1" s="62" t="n"/>
      <c r="F1" s="62" t="n"/>
      <c r="G1" s="62" t="n"/>
      <c r="H1" s="47" t="n"/>
      <c r="I1" s="1" t="n"/>
      <c r="J1" s="1" t="n"/>
      <c r="K1" s="1" t="n"/>
      <c r="L1" s="46" t="inlineStr">
        <is>
          <t>1ª Quizena</t>
        </is>
      </c>
      <c r="M1" s="47" t="n"/>
      <c r="N1" s="1" t="n"/>
      <c r="O1" s="61" t="inlineStr">
        <is>
          <t>Gastos</t>
        </is>
      </c>
      <c r="P1" s="62" t="n"/>
      <c r="Q1" s="62" t="n"/>
      <c r="R1" s="62" t="n"/>
      <c r="S1" s="47" t="n"/>
      <c r="T1" s="1" t="n"/>
      <c r="U1" s="67" t="inlineStr">
        <is>
          <t>lucro diario</t>
        </is>
      </c>
      <c r="V1" s="56" t="n"/>
      <c r="W1" s="2" t="n"/>
    </row>
    <row r="2" ht="15.75" customHeight="1" s="45">
      <c r="A2" s="1" t="n"/>
      <c r="B2" s="1" t="n"/>
      <c r="C2" s="48" t="n"/>
      <c r="D2" s="63" t="n"/>
      <c r="E2" s="63" t="n"/>
      <c r="F2" s="63" t="n"/>
      <c r="G2" s="63" t="n"/>
      <c r="H2" s="49" t="n"/>
      <c r="I2" s="1" t="n"/>
      <c r="J2" s="1" t="n"/>
      <c r="K2" s="1" t="n"/>
      <c r="L2" s="48" t="n"/>
      <c r="M2" s="49" t="n"/>
      <c r="N2" s="1" t="n"/>
      <c r="O2" s="48" t="n"/>
      <c r="P2" s="63" t="n"/>
      <c r="Q2" s="63" t="n"/>
      <c r="R2" s="63" t="n"/>
      <c r="S2" s="49" t="n"/>
      <c r="T2" s="1" t="n"/>
      <c r="U2" s="52" t="n"/>
      <c r="V2" s="51" t="n"/>
      <c r="W2" s="2" t="n"/>
    </row>
    <row r="3" ht="15.75" customHeight="1" s="45">
      <c r="A3" s="3" t="n"/>
      <c r="B3" s="4" t="inlineStr">
        <is>
          <t>Data</t>
        </is>
      </c>
      <c r="C3" s="5" t="inlineStr">
        <is>
          <t>Dia semana</t>
        </is>
      </c>
      <c r="D3" s="6" t="inlineStr">
        <is>
          <t>Km executado</t>
        </is>
      </c>
      <c r="E3" s="5" t="inlineStr">
        <is>
          <t>R$ Diaria</t>
        </is>
      </c>
      <c r="F3" s="5" t="inlineStr">
        <is>
          <t>Qtd. Pacotes</t>
        </is>
      </c>
      <c r="G3" s="5" t="inlineStr">
        <is>
          <t xml:space="preserve">Qtd.entregas </t>
        </is>
      </c>
      <c r="H3" s="5" t="inlineStr">
        <is>
          <t>% de Entrega</t>
        </is>
      </c>
      <c r="I3" s="7" t="inlineStr">
        <is>
          <t>bônus 1</t>
        </is>
      </c>
      <c r="J3" s="8" t="inlineStr">
        <is>
          <t>Total</t>
        </is>
      </c>
      <c r="K3" s="1" t="n"/>
      <c r="L3" s="50">
        <f>J37+IF(AND(L31&gt;=13,L29&gt;=98%,L29&lt;=100%),600,0)</f>
        <v/>
      </c>
      <c r="M3" s="51" t="n"/>
      <c r="N3" s="1" t="n"/>
      <c r="O3" s="9" t="inlineStr">
        <is>
          <t>Gasolina</t>
        </is>
      </c>
      <c r="P3" s="9" t="inlineStr">
        <is>
          <t xml:space="preserve">Almoço </t>
        </is>
      </c>
      <c r="Q3" s="10" t="inlineStr">
        <is>
          <t xml:space="preserve">Besteira </t>
        </is>
      </c>
      <c r="R3" s="10" t="inlineStr">
        <is>
          <t>Carro</t>
        </is>
      </c>
      <c r="S3" s="11" t="inlineStr">
        <is>
          <t>Total</t>
        </is>
      </c>
      <c r="T3" s="1" t="n"/>
      <c r="U3" s="53" t="n"/>
      <c r="V3" s="54" t="n"/>
      <c r="W3" s="2" t="n"/>
    </row>
    <row r="4" ht="15.75" customHeight="1" s="45">
      <c r="A4" s="64" t="n">
        <v>1</v>
      </c>
      <c r="B4" s="30" t="n">
        <v>46199</v>
      </c>
      <c r="C4" s="12">
        <f>IF(B4="","",TEXT(WEEKDAY(B4),"dddd"))</f>
        <v/>
      </c>
      <c r="D4" s="16" t="n"/>
      <c r="E4" s="13">
        <f>IF(D4="","",VLOOKUP(D4,
{0,240;101,260;126,280;151,300;176,320;201,340;226,360;251,380;276,400;301,420;326,440;351,460;376,480},
2,TRUE)
+IF(WEEKDAY(B4,2)=7,48,0))</f>
        <v/>
      </c>
      <c r="F4" s="14" t="n"/>
      <c r="G4" s="18" t="n"/>
      <c r="H4" s="15">
        <f>IF(OR(F4="",G4="",F4=0),"",G4/F4)</f>
        <v/>
      </c>
      <c r="I4" s="31">
        <f>IF(H4=1,20,IF(AND(H4&gt;=98%,H4&lt;100%),10,0))</f>
        <v/>
      </c>
      <c r="J4" s="32">
        <f>E4+I4</f>
        <v/>
      </c>
      <c r="K4" s="1" t="n"/>
      <c r="L4" s="53" t="n"/>
      <c r="M4" s="54" t="n"/>
      <c r="N4" s="1" t="n"/>
      <c r="O4" s="33" t="n"/>
      <c r="P4" s="33" t="n"/>
      <c r="Q4" s="33" t="n"/>
      <c r="R4" s="33" t="n"/>
      <c r="S4" s="34">
        <f>O4+P4+Q4+R4</f>
        <v/>
      </c>
      <c r="T4" s="1" t="n"/>
      <c r="U4" s="43">
        <f>SUM(J4-S4)</f>
        <v/>
      </c>
      <c r="V4" s="44" t="n"/>
      <c r="W4" s="2" t="n"/>
    </row>
    <row r="5" ht="15.75" customHeight="1" s="45">
      <c r="B5" s="30" t="n">
        <v>46200</v>
      </c>
      <c r="C5" s="12">
        <f>IF(B5="","",TEXT(WEEKDAY(B5),"dddd"))</f>
        <v/>
      </c>
      <c r="D5" s="16" t="n"/>
      <c r="E5" s="13">
        <f>IF(D5="","",VLOOKUP(D5,
{0,240;101,260;126,280;151,300;176,320;201,340;226,360;251,380;276,400;301,420;326,440;351,460;376,480},
2,TRUE)
+IF(WEEKDAY(B5,2)=7,48,0))</f>
        <v/>
      </c>
      <c r="F5" s="17" t="n"/>
      <c r="G5" s="18" t="n"/>
      <c r="H5" s="15">
        <f>IF(OR(F5="",G5="",F5=0),"",G5/F5)</f>
        <v/>
      </c>
      <c r="I5" s="31">
        <f>IF(H5=1,20,IF(AND(H5&gt;=98%,H5&lt;100%),10,0))</f>
        <v/>
      </c>
      <c r="J5" s="32">
        <f>E5+I5</f>
        <v/>
      </c>
      <c r="K5" s="1" t="n"/>
      <c r="L5" s="1" t="n"/>
      <c r="M5" s="1" t="n"/>
      <c r="N5" s="1" t="n"/>
      <c r="O5" s="35" t="n"/>
      <c r="P5" s="35" t="n"/>
      <c r="Q5" s="33" t="n"/>
      <c r="R5" s="33" t="n"/>
      <c r="S5" s="34">
        <f>O5+P5+Q5+R5</f>
        <v/>
      </c>
      <c r="T5" s="1" t="n"/>
      <c r="U5" s="43">
        <f>SUM(J5-S5)</f>
        <v/>
      </c>
      <c r="V5" s="44" t="n"/>
      <c r="W5" s="2" t="n"/>
    </row>
    <row r="6" ht="15.75" customHeight="1" s="45">
      <c r="B6" s="30" t="n">
        <v>46201</v>
      </c>
      <c r="C6" s="12">
        <f>IF(B6="","",TEXT(WEEKDAY(B6),"dddd"))</f>
        <v/>
      </c>
      <c r="D6" s="16" t="n"/>
      <c r="E6" s="13">
        <f>IF(D6="","",VLOOKUP(D6,
{0,240;101,260;126,280;151,300;176,320;201,340;226,360;251,380;276,400;301,420;326,440;351,460;376,480},
2,TRUE)
+IF(WEEKDAY(B6,2)=7,48,0))</f>
        <v/>
      </c>
      <c r="F6" s="17" t="n"/>
      <c r="G6" s="18" t="n"/>
      <c r="H6" s="15">
        <f>IF(OR(F6="",G6="",F6=0),"",G6/F6)</f>
        <v/>
      </c>
      <c r="I6" s="31">
        <f>IF(H6=1,20,IF(AND(H6&gt;=98%,H6&lt;100%),10,0))</f>
        <v/>
      </c>
      <c r="J6" s="32">
        <f>E6+I6</f>
        <v/>
      </c>
      <c r="K6" s="1" t="n"/>
      <c r="L6" s="46" t="inlineStr">
        <is>
          <t>2ª Quizena</t>
        </is>
      </c>
      <c r="M6" s="47" t="n"/>
      <c r="N6" s="1" t="n"/>
      <c r="O6" s="35" t="n"/>
      <c r="P6" s="35" t="n"/>
      <c r="Q6" s="33" t="n"/>
      <c r="R6" s="33" t="n"/>
      <c r="S6" s="34">
        <f>O6+P6+Q6+R6</f>
        <v/>
      </c>
      <c r="T6" s="1" t="n"/>
      <c r="U6" s="43">
        <f>SUM(J6-S6)</f>
        <v/>
      </c>
      <c r="V6" s="44" t="n"/>
      <c r="W6" s="2" t="n"/>
    </row>
    <row r="7" ht="15.75" customHeight="1" s="45">
      <c r="B7" s="30" t="n">
        <v>46202</v>
      </c>
      <c r="C7" s="12">
        <f>IF(B7="","",TEXT(WEEKDAY(B7),"dddd"))</f>
        <v/>
      </c>
      <c r="D7" s="16" t="n"/>
      <c r="E7" s="13">
        <f>IF(D7="","",VLOOKUP(D7,
{0,240;101,260;126,280;151,300;176,320;201,340;226,360;251,380;276,400;301,420;326,440;351,460;376,480},
2,TRUE)
+IF(WEEKDAY(B7,2)=7,48,0))</f>
        <v/>
      </c>
      <c r="F7" s="17" t="n"/>
      <c r="G7" s="18" t="n"/>
      <c r="H7" s="15">
        <f>IF(OR(F7="",G7="",F7=0),"",G7/F7)</f>
        <v/>
      </c>
      <c r="I7" s="31">
        <f>IF(H7=1,20,IF(AND(H7&gt;=98%,H7&lt;100%),10,0))</f>
        <v/>
      </c>
      <c r="J7" s="32">
        <f>E7+I7</f>
        <v/>
      </c>
      <c r="K7" s="1" t="n"/>
      <c r="L7" s="48" t="n"/>
      <c r="M7" s="49" t="n"/>
      <c r="N7" s="1" t="n"/>
      <c r="O7" s="35" t="n"/>
      <c r="P7" s="35" t="n"/>
      <c r="Q7" s="33" t="n"/>
      <c r="R7" s="33" t="n"/>
      <c r="S7" s="34">
        <f>O7+P7+Q7+R7</f>
        <v/>
      </c>
      <c r="T7" s="1" t="n"/>
      <c r="U7" s="43">
        <f>SUM(J7-S7)</f>
        <v/>
      </c>
      <c r="V7" s="44" t="n"/>
      <c r="W7" s="2" t="n"/>
    </row>
    <row r="8" ht="15.75" customHeight="1" s="45">
      <c r="B8" s="30" t="n">
        <v>46203</v>
      </c>
      <c r="C8" s="12">
        <f>IF(B8="","",TEXT(WEEKDAY(B8),"dddd"))</f>
        <v/>
      </c>
      <c r="D8" s="16" t="n"/>
      <c r="E8" s="13">
        <f>IF(D8="","",VLOOKUP(D8,
{0,240;101,260;126,280;151,300;176,320;201,340;226,360;251,380;276,400;301,420;326,440;351,460;376,480},
2,TRUE)
+IF(WEEKDAY(B8,2)=7,48,0))</f>
        <v/>
      </c>
      <c r="F8" s="17" t="n"/>
      <c r="G8" s="18" t="n"/>
      <c r="H8" s="15">
        <f>IF(OR(F8="",G8="",F8=0),"",G8/F8)</f>
        <v/>
      </c>
      <c r="I8" s="31">
        <f>IF(H8=1,20,IF(AND(H8&gt;=98%,H8&lt;100%),10,0))</f>
        <v/>
      </c>
      <c r="J8" s="32">
        <f>E8+I8</f>
        <v/>
      </c>
      <c r="K8" s="1" t="n"/>
      <c r="L8" s="50">
        <f>J38+IF(AND(L36&gt;=13,L29&gt;=98%,L29&lt;=100%),600,0)</f>
        <v/>
      </c>
      <c r="M8" s="51" t="n"/>
      <c r="N8" s="1" t="n"/>
      <c r="O8" s="35" t="n"/>
      <c r="P8" s="35" t="n"/>
      <c r="Q8" s="33" t="n"/>
      <c r="R8" s="33" t="n"/>
      <c r="S8" s="34">
        <f>O8+P8+Q8+R8</f>
        <v/>
      </c>
      <c r="T8" s="1" t="n"/>
      <c r="U8" s="43">
        <f>SUM(J8-S8)</f>
        <v/>
      </c>
      <c r="V8" s="44" t="n"/>
      <c r="W8" s="2" t="n"/>
    </row>
    <row r="9" ht="15.75" customHeight="1" s="45">
      <c r="B9" s="30" t="n">
        <v>46204</v>
      </c>
      <c r="C9" s="12">
        <f>IF(B9="","",TEXT(WEEKDAY(B9),"dddd"))</f>
        <v/>
      </c>
      <c r="D9" s="16" t="n"/>
      <c r="E9" s="13">
        <f>IF(D9="","",VLOOKUP(D9,
{0,240;101,260;126,280;151,300;176,320;201,340;226,360;251,380;276,400;301,420;326,440;351,460;376,480},
2,TRUE)
+IF(WEEKDAY(B9,2)=7,48,0))</f>
        <v/>
      </c>
      <c r="F9" s="17" t="n"/>
      <c r="G9" s="18" t="n"/>
      <c r="H9" s="15">
        <f>IF(OR(F9="",G9="",F9=0),"",G9/F9)</f>
        <v/>
      </c>
      <c r="I9" s="31">
        <f>IF(H9=1,20,IF(AND(H9&gt;=98%,H9&lt;100%),10,0))</f>
        <v/>
      </c>
      <c r="J9" s="32">
        <f>E9+I9</f>
        <v/>
      </c>
      <c r="K9" s="1" t="n"/>
      <c r="L9" s="53" t="n"/>
      <c r="M9" s="54" t="n"/>
      <c r="N9" s="1" t="n"/>
      <c r="O9" s="35" t="n"/>
      <c r="P9" s="35" t="n"/>
      <c r="Q9" s="33" t="n"/>
      <c r="R9" s="33" t="n"/>
      <c r="S9" s="34">
        <f>O9+P9+Q9+R9</f>
        <v/>
      </c>
      <c r="T9" s="1" t="n"/>
      <c r="U9" s="43">
        <f>SUM(J9-S9)</f>
        <v/>
      </c>
      <c r="V9" s="44" t="n"/>
      <c r="W9" s="2" t="n"/>
    </row>
    <row r="10" ht="15.75" customHeight="1" s="45">
      <c r="B10" s="30" t="n">
        <v>46205</v>
      </c>
      <c r="C10" s="12">
        <f>IF(B10="","",TEXT(WEEKDAY(B10),"dddd"))</f>
        <v/>
      </c>
      <c r="D10" s="16" t="n"/>
      <c r="E10" s="13">
        <f>IF(D10="","",VLOOKUP(D10,
{0,240;101,260;126,280;151,300;176,320;201,340;226,360;251,380;276,400;301,420;326,440;351,460;376,480},
2,TRUE)
+IF(WEEKDAY(B10,2)=7,48,0))</f>
        <v/>
      </c>
      <c r="F10" s="17" t="n"/>
      <c r="G10" s="18" t="n"/>
      <c r="H10" s="15">
        <f>IF(OR(F10="",G10="",F10=0),"",G10/F10)</f>
        <v/>
      </c>
      <c r="I10" s="31">
        <f>IF(H10=1,20,IF(AND(H10&gt;=98%,H10&lt;100%),10,0))</f>
        <v/>
      </c>
      <c r="J10" s="32">
        <f>E10+I10</f>
        <v/>
      </c>
      <c r="K10" s="1" t="n"/>
      <c r="L10" s="1" t="n"/>
      <c r="M10" s="1" t="n"/>
      <c r="N10" s="1" t="n"/>
      <c r="O10" s="35" t="n"/>
      <c r="P10" s="35" t="n"/>
      <c r="Q10" s="33" t="n"/>
      <c r="R10" s="33" t="n"/>
      <c r="S10" s="34">
        <f>O10+P10+Q10+R10</f>
        <v/>
      </c>
      <c r="T10" s="1" t="n"/>
      <c r="U10" s="43">
        <f>SUM(J10-S10)</f>
        <v/>
      </c>
      <c r="V10" s="44" t="n"/>
      <c r="W10" s="2" t="n"/>
    </row>
    <row r="11" ht="15.75" customHeight="1" s="45">
      <c r="B11" s="30" t="n">
        <v>46206</v>
      </c>
      <c r="C11" s="12">
        <f>IF(B11="","",TEXT(WEEKDAY(B11),"dddd"))</f>
        <v/>
      </c>
      <c r="D11" s="16" t="n"/>
      <c r="E11" s="13">
        <f>IF(D11="","",VLOOKUP(D11,
{0,240;101,260;126,280;151,300;176,320;201,340;226,360;251,380;276,400;301,420;326,440;351,460;376,480},
2,TRUE)
+IF(WEEKDAY(B11,2)=7,48,0))</f>
        <v/>
      </c>
      <c r="F11" s="17" t="n"/>
      <c r="G11" s="18" t="n"/>
      <c r="H11" s="15">
        <f>IF(OR(F11="",G11="",F11=0),"",G11/F11)</f>
        <v/>
      </c>
      <c r="I11" s="31">
        <f>IF(H11=1,20,IF(AND(H11&gt;=98%,H11&lt;100%),10,0))</f>
        <v/>
      </c>
      <c r="J11" s="32">
        <f>E11+I11</f>
        <v/>
      </c>
      <c r="K11" s="1" t="n"/>
      <c r="L11" s="46" t="inlineStr">
        <is>
          <t>Total/Ganho</t>
        </is>
      </c>
      <c r="M11" s="47" t="n"/>
      <c r="N11" s="1" t="n"/>
      <c r="O11" s="35" t="n"/>
      <c r="P11" s="35" t="n"/>
      <c r="Q11" s="33" t="n"/>
      <c r="R11" s="33" t="n"/>
      <c r="S11" s="34">
        <f>O11+P11+Q11+R11</f>
        <v/>
      </c>
      <c r="T11" s="1" t="n"/>
      <c r="U11" s="43">
        <f>SUM(J11-S11)</f>
        <v/>
      </c>
      <c r="V11" s="44" t="n"/>
      <c r="W11" s="2" t="n"/>
    </row>
    <row r="12" ht="15.75" customHeight="1" s="45">
      <c r="B12" s="30" t="n">
        <v>46207</v>
      </c>
      <c r="C12" s="12">
        <f>IF(B12="","",TEXT(WEEKDAY(B12),"dddd"))</f>
        <v/>
      </c>
      <c r="D12" s="16" t="n"/>
      <c r="E12" s="13">
        <f>IF(D12="","",VLOOKUP(D12,
{0,240;101,260;126,280;151,300;176,320;201,340;226,360;251,380;276,400;301,420;326,440;351,460;376,480},
2,TRUE)
+IF(WEEKDAY(B12,2)=7,48,0))</f>
        <v/>
      </c>
      <c r="F12" s="17" t="n"/>
      <c r="G12" s="18" t="n"/>
      <c r="H12" s="15">
        <f>IF(OR(F12="",G12="",F12=0),"",G12/F12)</f>
        <v/>
      </c>
      <c r="I12" s="31">
        <f>IF(H12=1,20,IF(AND(H12&gt;=98%,H12&lt;100%),10,0))</f>
        <v/>
      </c>
      <c r="J12" s="32">
        <f>E12+I12</f>
        <v/>
      </c>
      <c r="K12" s="1" t="n"/>
      <c r="L12" s="48" t="n"/>
      <c r="M12" s="49" t="n"/>
      <c r="N12" s="1" t="n"/>
      <c r="O12" s="35" t="n"/>
      <c r="P12" s="35" t="n"/>
      <c r="Q12" s="33" t="n"/>
      <c r="R12" s="33" t="n"/>
      <c r="S12" s="34">
        <f>O12+P12+Q12+R12</f>
        <v/>
      </c>
      <c r="T12" s="1" t="n"/>
      <c r="U12" s="43">
        <f>SUM(J12-S12)</f>
        <v/>
      </c>
      <c r="V12" s="44" t="n"/>
      <c r="W12" s="2" t="n"/>
    </row>
    <row r="13" ht="15.75" customHeight="1" s="45">
      <c r="B13" s="30" t="n">
        <v>46208</v>
      </c>
      <c r="C13" s="12">
        <f>IF(B13="","",TEXT(WEEKDAY(B13),"dddd"))</f>
        <v/>
      </c>
      <c r="D13" s="16" t="n"/>
      <c r="E13" s="13">
        <f>IF(D13="","",VLOOKUP(D13,
{0,240;101,260;126,280;151,300;176,320;201,340;226,360;251,380;276,400;301,420;326,440;351,460;376,480},
2,TRUE)
+IF(WEEKDAY(B13,2)=7,48,0))</f>
        <v/>
      </c>
      <c r="F13" s="17" t="n"/>
      <c r="G13" s="18" t="n"/>
      <c r="H13" s="15">
        <f>IF(OR(F13="",G13="",F13=0),"",G13/F13)</f>
        <v/>
      </c>
      <c r="I13" s="31">
        <f>IF(H13=1,20,IF(AND(H13&gt;=98%,H13&lt;100%),10,0))</f>
        <v/>
      </c>
      <c r="J13" s="32">
        <f>E13+I13</f>
        <v/>
      </c>
      <c r="K13" s="1" t="n"/>
      <c r="L13" s="50">
        <f>SUM(L3+L8)</f>
        <v/>
      </c>
      <c r="M13" s="51" t="n"/>
      <c r="N13" s="1" t="n"/>
      <c r="O13" s="35" t="n"/>
      <c r="P13" s="35" t="n"/>
      <c r="Q13" s="33" t="n"/>
      <c r="R13" s="33" t="n"/>
      <c r="S13" s="34">
        <f>O13+P13+Q13+R13</f>
        <v/>
      </c>
      <c r="T13" s="1" t="n"/>
      <c r="U13" s="43">
        <f>SUM(J13-S13)</f>
        <v/>
      </c>
      <c r="V13" s="44" t="n"/>
      <c r="W13" s="2" t="n"/>
    </row>
    <row r="14" ht="15.75" customHeight="1" s="45">
      <c r="B14" s="30" t="n">
        <v>46209</v>
      </c>
      <c r="C14" s="12">
        <f>IF(B14="","",TEXT(WEEKDAY(B14),"dddd"))</f>
        <v/>
      </c>
      <c r="D14" s="16" t="n"/>
      <c r="E14" s="13">
        <f>IF(D14="","",VLOOKUP(D14,
{0,240;101,260;126,280;151,300;176,320;201,340;226,360;251,380;276,400;301,420;326,440;351,460;376,480},
2,TRUE)
+IF(WEEKDAY(B14,2)=7,48,0))</f>
        <v/>
      </c>
      <c r="F14" s="17" t="n"/>
      <c r="G14" s="18" t="n"/>
      <c r="H14" s="15">
        <f>IF(OR(F14="",G14="",F14=0),"",G14/F14)</f>
        <v/>
      </c>
      <c r="I14" s="31">
        <f>IF(H14=1,20,IF(AND(H14&gt;=98%,H14&lt;100%),10,0))</f>
        <v/>
      </c>
      <c r="J14" s="32">
        <f>E14+I14</f>
        <v/>
      </c>
      <c r="K14" s="1" t="n"/>
      <c r="L14" s="52" t="n"/>
      <c r="M14" s="51" t="n"/>
      <c r="N14" s="1" t="n"/>
      <c r="O14" s="35" t="n"/>
      <c r="P14" s="35" t="n"/>
      <c r="Q14" s="33" t="n"/>
      <c r="R14" s="33" t="n"/>
      <c r="S14" s="34">
        <f>O14+P14+Q14+R14</f>
        <v/>
      </c>
      <c r="T14" s="1" t="n"/>
      <c r="U14" s="43">
        <f>SUM(J14-S14)</f>
        <v/>
      </c>
      <c r="V14" s="44" t="n"/>
      <c r="W14" s="2" t="n"/>
    </row>
    <row r="15" ht="15.75" customHeight="1" s="45">
      <c r="B15" s="30" t="n">
        <v>46210</v>
      </c>
      <c r="C15" s="12">
        <f>IF(B15="","",TEXT(WEEKDAY(B15),"dddd"))</f>
        <v/>
      </c>
      <c r="D15" s="16" t="n"/>
      <c r="E15" s="13">
        <f>IF(D15="","",VLOOKUP(D15,
{0,240;101,260;126,280;151,300;176,320;201,340;226,360;251,380;276,400;301,420;326,440;351,460;376,480},
2,TRUE)
+IF(WEEKDAY(B15,2)=7,48,0))</f>
        <v/>
      </c>
      <c r="F15" s="17" t="n"/>
      <c r="G15" s="18" t="n"/>
      <c r="H15" s="15">
        <f>IF(OR(F15="",G15="",F15=0),"",G15/F15)</f>
        <v/>
      </c>
      <c r="I15" s="31">
        <f>IF(H15=1,20,IF(AND(H15&gt;=98%,H15&lt;100%),10,0))</f>
        <v/>
      </c>
      <c r="J15" s="32">
        <f>E15+I15</f>
        <v/>
      </c>
      <c r="K15" s="1" t="n"/>
      <c r="L15" s="53" t="n"/>
      <c r="M15" s="54" t="n"/>
      <c r="N15" s="1" t="n"/>
      <c r="O15" s="35" t="n"/>
      <c r="P15" s="35" t="n"/>
      <c r="Q15" s="33" t="n"/>
      <c r="R15" s="33" t="n"/>
      <c r="S15" s="34">
        <f>O15+P15+Q15+R15</f>
        <v/>
      </c>
      <c r="T15" s="1" t="n"/>
      <c r="U15" s="43">
        <f>SUM(J15-S15)</f>
        <v/>
      </c>
      <c r="V15" s="44" t="n"/>
      <c r="W15" s="2" t="n"/>
    </row>
    <row r="16" ht="15.75" customHeight="1" s="45">
      <c r="B16" s="30" t="n">
        <v>46211</v>
      </c>
      <c r="C16" s="12">
        <f>IF(B16="","",TEXT(WEEKDAY(B16),"dddd"))</f>
        <v/>
      </c>
      <c r="D16" s="16" t="n"/>
      <c r="E16" s="13">
        <f>IF(D16="","",VLOOKUP(D16,
{0,240;101,260;126,280;151,300;176,320;201,340;226,360;251,380;276,400;301,420;326,440;351,460;376,480},
2,TRUE)
+IF(WEEKDAY(B16,2)=7,48,0))</f>
        <v/>
      </c>
      <c r="F16" s="17" t="n"/>
      <c r="G16" s="18" t="n"/>
      <c r="H16" s="15">
        <f>IF(OR(F16="",G16="",F16=0),"",G16/F16)</f>
        <v/>
      </c>
      <c r="I16" s="31">
        <f>IF(H16=1,20,IF(AND(H16&gt;=98%,H16&lt;100%),10,0))</f>
        <v/>
      </c>
      <c r="J16" s="32">
        <f>E16+I16</f>
        <v/>
      </c>
      <c r="K16" s="1" t="n"/>
      <c r="L16" s="1" t="n"/>
      <c r="M16" s="1" t="n"/>
      <c r="N16" s="1" t="n"/>
      <c r="O16" s="35" t="n"/>
      <c r="P16" s="35" t="n"/>
      <c r="Q16" s="33" t="n"/>
      <c r="R16" s="33" t="n"/>
      <c r="S16" s="34">
        <f>O16+P16+Q16+R16</f>
        <v/>
      </c>
      <c r="T16" s="1" t="n"/>
      <c r="U16" s="43">
        <f>SUM(J16-S16)</f>
        <v/>
      </c>
      <c r="V16" s="44" t="n"/>
      <c r="W16" s="2" t="n"/>
    </row>
    <row r="17" ht="15.75" customHeight="1" s="45">
      <c r="B17" s="30" t="n">
        <v>46212</v>
      </c>
      <c r="C17" s="12">
        <f>IF(B17="","",TEXT(WEEKDAY(B17),"dddd"))</f>
        <v/>
      </c>
      <c r="D17" s="16" t="n"/>
      <c r="E17" s="13">
        <f>IF(D17="","",VLOOKUP(D17,
{0,240;101,260;126,280;151,300;176,320;201,340;226,360;251,380;276,400;301,420;326,440;351,460;376,480},
2,TRUE)
+IF(WEEKDAY(B17,2)=7,48,0))</f>
        <v/>
      </c>
      <c r="F17" s="17" t="n"/>
      <c r="G17" s="18" t="n"/>
      <c r="H17" s="15">
        <f>IF(OR(F17="",G17="",F17=0),"",G17/F17)</f>
        <v/>
      </c>
      <c r="I17" s="31">
        <f>IF(H17=1,20,IF(AND(H17&gt;=98%,H17&lt;100%),10,0))</f>
        <v/>
      </c>
      <c r="J17" s="32">
        <f>E17+I17</f>
        <v/>
      </c>
      <c r="K17" s="1" t="n"/>
      <c r="L17" s="46" t="inlineStr">
        <is>
          <t>Total/Gasto</t>
        </is>
      </c>
      <c r="M17" s="47" t="n"/>
      <c r="N17" s="1" t="n"/>
      <c r="O17" s="35" t="n"/>
      <c r="P17" s="35" t="n"/>
      <c r="Q17" s="33" t="n"/>
      <c r="R17" s="33" t="n"/>
      <c r="S17" s="34">
        <f>O17+P17+Q17+R17</f>
        <v/>
      </c>
      <c r="T17" s="1" t="n"/>
      <c r="U17" s="43">
        <f>SUM(J17-S17)</f>
        <v/>
      </c>
      <c r="V17" s="44" t="n"/>
      <c r="W17" s="2" t="n"/>
    </row>
    <row r="18" ht="15.75" customHeight="1" s="45">
      <c r="B18" s="30" t="n">
        <v>46213</v>
      </c>
      <c r="C18" s="12">
        <f>IF(B18="","",TEXT(WEEKDAY(B18),"dddd"))</f>
        <v/>
      </c>
      <c r="D18" s="16" t="n"/>
      <c r="E18" s="13">
        <f>IF(D18="","",VLOOKUP(D18,
{0,240;101,260;126,280;151,300;176,320;201,340;226,360;251,380;276,400;301,420;326,440;351,460;376,480},
2,TRUE)
+IF(WEEKDAY(B18,2)=7,48,0))</f>
        <v/>
      </c>
      <c r="F18" s="17" t="n"/>
      <c r="G18" s="18" t="n"/>
      <c r="H18" s="15">
        <f>IF(OR(F18="",G18="",F18=0),"",G18/F18)</f>
        <v/>
      </c>
      <c r="I18" s="31">
        <f>IF(H18=1,20,IF(AND(H18&gt;=98%,H18&lt;100%),10,0))</f>
        <v/>
      </c>
      <c r="J18" s="32">
        <f>E18+I18</f>
        <v/>
      </c>
      <c r="K18" s="1" t="n"/>
      <c r="L18" s="48" t="n"/>
      <c r="M18" s="49" t="n"/>
      <c r="N18" s="1" t="n"/>
      <c r="O18" s="35" t="n"/>
      <c r="P18" s="35" t="n"/>
      <c r="Q18" s="33" t="n"/>
      <c r="R18" s="33" t="n"/>
      <c r="S18" s="34">
        <f>O18+P18+Q18+R18</f>
        <v/>
      </c>
      <c r="T18" s="1" t="n"/>
      <c r="U18" s="43">
        <f>SUM(J18-S18)</f>
        <v/>
      </c>
      <c r="V18" s="44" t="n"/>
      <c r="W18" s="2" t="n"/>
    </row>
    <row r="19" ht="15.75" customHeight="1" s="45">
      <c r="B19" s="30" t="n"/>
      <c r="C19" s="12">
        <f>IF(B19="","",TEXT(WEEKDAY(B19),"dddd"))</f>
        <v/>
      </c>
      <c r="D19" s="16" t="n"/>
      <c r="E19" s="13">
        <f>IF(D19="","",VLOOKUP(D19,
{0,240;101,260;126,280;151,300;176,320;201,340;226,360;251,380;276,400;301,420;326,440;351,460;376,480},
2,TRUE)
+IF(WEEKDAY(B19,2)=7,48,0))</f>
        <v/>
      </c>
      <c r="F19" s="17" t="n"/>
      <c r="G19" s="18" t="n"/>
      <c r="H19" s="15">
        <f>IF(OR(F19="",G19="",F19=0),"",G19/F19)</f>
        <v/>
      </c>
      <c r="I19" s="31">
        <f>IF(H19=1,20,IF(AND(H19&gt;=98%,H19&lt;100%),10,0))</f>
        <v/>
      </c>
      <c r="J19" s="32">
        <f>E19+I19</f>
        <v/>
      </c>
      <c r="K19" s="1" t="n"/>
      <c r="L19" s="57">
        <f>SUM(S4:S35)</f>
        <v/>
      </c>
      <c r="M19" s="51" t="n"/>
      <c r="N19" s="1" t="n"/>
      <c r="O19" s="35" t="n"/>
      <c r="P19" s="35" t="n"/>
      <c r="Q19" s="33" t="n"/>
      <c r="R19" s="33" t="n"/>
      <c r="S19" s="34">
        <f>O19+P19+Q19+R19</f>
        <v/>
      </c>
      <c r="T19" s="1" t="n"/>
      <c r="U19" s="43">
        <f>SUM(J19-S19)</f>
        <v/>
      </c>
      <c r="V19" s="44" t="n"/>
      <c r="W19" s="2" t="n"/>
    </row>
    <row r="20" ht="15.75" customHeight="1" s="45">
      <c r="A20" s="36" t="n"/>
      <c r="B20" s="37" t="n"/>
      <c r="C20" s="19" t="n"/>
      <c r="D20" s="20" t="n"/>
      <c r="E20" s="21" t="n"/>
      <c r="F20" s="22" t="n"/>
      <c r="G20" s="23" t="n"/>
      <c r="H20" s="24" t="n"/>
      <c r="I20" s="38" t="n"/>
      <c r="J20" s="25" t="n"/>
      <c r="K20" s="1" t="n"/>
      <c r="L20" s="52" t="n"/>
      <c r="M20" s="51" t="n"/>
      <c r="N20" s="1" t="n"/>
      <c r="O20" s="39" t="n"/>
      <c r="P20" s="39" t="n"/>
      <c r="Q20" s="40" t="n"/>
      <c r="R20" s="40" t="n"/>
      <c r="S20" s="40" t="n"/>
      <c r="T20" s="1" t="n"/>
      <c r="U20" s="59" t="n"/>
      <c r="V20" s="44" t="n"/>
      <c r="W20" s="2" t="n"/>
    </row>
    <row r="21" ht="15.75" customHeight="1" s="45">
      <c r="A21" s="64" t="n">
        <v>2</v>
      </c>
      <c r="B21" s="30" t="n">
        <v>46214</v>
      </c>
      <c r="C21" s="12">
        <f>IF(B21="","",TEXT(WEEKDAY(B21),"dddd"))</f>
        <v/>
      </c>
      <c r="D21" s="16" t="n"/>
      <c r="E21" s="13">
        <f>IF(D21="","",VLOOKUP(D21,
{0,240;101,260;126,280;151,300;176,320;201,340;226,360;251,380;276,400;301,420;326,440;351,460;376,480},
2,TRUE)
+IF(WEEKDAY(B21,2)=7,48,0))</f>
        <v/>
      </c>
      <c r="F21" s="17" t="n"/>
      <c r="G21" s="18" t="n"/>
      <c r="H21" s="15">
        <f>IF(OR(F21="",G21="",F21=0),"",G21/F21)</f>
        <v/>
      </c>
      <c r="I21" s="31">
        <f>IF(H21=1,20,IF(AND(H21&gt;=98%,H21&lt;100%),10,0))</f>
        <v/>
      </c>
      <c r="J21" s="32">
        <f>E21+I21</f>
        <v/>
      </c>
      <c r="K21" s="1" t="n"/>
      <c r="L21" s="53" t="n"/>
      <c r="M21" s="54" t="n"/>
      <c r="N21" s="1" t="n"/>
      <c r="O21" s="35" t="n"/>
      <c r="P21" s="35" t="n"/>
      <c r="Q21" s="33" t="n"/>
      <c r="R21" s="33" t="n"/>
      <c r="S21" s="34">
        <f>O21+P21+Q21+R21</f>
        <v/>
      </c>
      <c r="T21" s="1" t="n"/>
      <c r="U21" s="43">
        <f>SUM(J21-S21)</f>
        <v/>
      </c>
      <c r="V21" s="44" t="n"/>
      <c r="W21" s="2" t="n"/>
    </row>
    <row r="22" ht="15.75" customHeight="1" s="45">
      <c r="B22" s="30" t="n">
        <v>46215</v>
      </c>
      <c r="C22" s="12">
        <f>IF(B22="","",TEXT(WEEKDAY(B22),"dddd"))</f>
        <v/>
      </c>
      <c r="D22" s="16" t="n"/>
      <c r="E22" s="13">
        <f>IF(D22="","",VLOOKUP(D22,
{0,240;101,260;126,280;151,300;176,320;201,340;226,360;251,380;276,400;301,420;326,440;351,460;376,480},
2,TRUE)
+IF(WEEKDAY(B22,2)=7,48,0))</f>
        <v/>
      </c>
      <c r="F22" s="17" t="n"/>
      <c r="G22" s="18" t="n"/>
      <c r="H22" s="15">
        <f>IF(OR(F22="",G22="",F22=0),"",G22/F22)</f>
        <v/>
      </c>
      <c r="I22" s="31">
        <f>IF(H22=1,20,IF(AND(H22&gt;=98%,H22&lt;100%),10,0))</f>
        <v/>
      </c>
      <c r="J22" s="32">
        <f>E22+I22</f>
        <v/>
      </c>
      <c r="K22" s="1" t="n"/>
      <c r="L22" s="46" t="inlineStr">
        <is>
          <t>Total/Lucro</t>
        </is>
      </c>
      <c r="M22" s="47" t="n"/>
      <c r="N22" s="1" t="n"/>
      <c r="O22" s="35" t="n"/>
      <c r="P22" s="35" t="n"/>
      <c r="Q22" s="33" t="n"/>
      <c r="R22" s="33" t="n"/>
      <c r="S22" s="34">
        <f>O22+P22+Q22+R22</f>
        <v/>
      </c>
      <c r="T22" s="1" t="n"/>
      <c r="U22" s="43">
        <f>SUM(J22-S22)</f>
        <v/>
      </c>
      <c r="V22" s="44" t="n"/>
      <c r="W22" s="2" t="n"/>
    </row>
    <row r="23" ht="15.75" customHeight="1" s="45">
      <c r="B23" s="30" t="n">
        <v>46216</v>
      </c>
      <c r="C23" s="12">
        <f>IF(B23="","",TEXT(WEEKDAY(B23),"dddd"))</f>
        <v/>
      </c>
      <c r="D23" s="16" t="n"/>
      <c r="E23" s="13">
        <f>IF(D23="","",VLOOKUP(D23,
{0,240;101,260;126,280;151,300;176,320;201,340;226,360;251,380;276,400;301,420;326,440;351,460;376,480},
2,TRUE)
+IF(WEEKDAY(B23,2)=7,48,0))</f>
        <v/>
      </c>
      <c r="F23" s="17" t="n"/>
      <c r="G23" s="18" t="n"/>
      <c r="H23" s="15">
        <f>IF(OR(F23="",G23="",F23=0),"",G23/F23)</f>
        <v/>
      </c>
      <c r="I23" s="31">
        <f>IF(H23=1,20,IF(AND(H23&gt;=98%,H23&lt;100%),10,0))</f>
        <v/>
      </c>
      <c r="J23" s="32">
        <f>E23+I23</f>
        <v/>
      </c>
      <c r="K23" s="1" t="n"/>
      <c r="L23" s="48" t="n"/>
      <c r="M23" s="49" t="n"/>
      <c r="N23" s="1" t="n"/>
      <c r="O23" s="35" t="n"/>
      <c r="P23" s="35" t="n"/>
      <c r="Q23" s="33" t="n"/>
      <c r="R23" s="33" t="n"/>
      <c r="S23" s="34">
        <f>O23+P23+Q23+R23</f>
        <v/>
      </c>
      <c r="T23" s="1" t="n"/>
      <c r="U23" s="43">
        <f>SUM(J23-S23)</f>
        <v/>
      </c>
      <c r="V23" s="44" t="n"/>
      <c r="W23" s="2" t="n"/>
    </row>
    <row r="24" ht="15.75" customHeight="1" s="45">
      <c r="B24" s="30" t="n">
        <v>46217</v>
      </c>
      <c r="C24" s="12">
        <f>IF(B24="","",TEXT(WEEKDAY(B24),"dddd"))</f>
        <v/>
      </c>
      <c r="D24" s="16" t="n"/>
      <c r="E24" s="13">
        <f>IF(D24="","",VLOOKUP(D24,
{0,240;101,260;126,280;151,300;176,320;201,340;226,360;251,380;276,400;301,420;326,440;351,460;376,480},
2,TRUE)
+IF(WEEKDAY(B24,2)=7,48,0))</f>
        <v/>
      </c>
      <c r="F24" s="17" t="n"/>
      <c r="G24" s="18" t="n"/>
      <c r="H24" s="15">
        <f>IF(OR(F24="",G24="",F24=0),"",G24/F24)</f>
        <v/>
      </c>
      <c r="I24" s="31">
        <f>IF(H24=1,20,IF(AND(H24&gt;=98%,H24&lt;100%),10,0))</f>
        <v/>
      </c>
      <c r="J24" s="32">
        <f>E24+I24</f>
        <v/>
      </c>
      <c r="K24" s="1" t="n"/>
      <c r="L24" s="60">
        <f>SUM(L13-L19)</f>
        <v/>
      </c>
      <c r="M24" s="51" t="n"/>
      <c r="N24" s="1" t="n"/>
      <c r="O24" s="35" t="n"/>
      <c r="P24" s="35" t="n"/>
      <c r="Q24" s="33" t="n"/>
      <c r="R24" s="33" t="n"/>
      <c r="S24" s="34">
        <f>O24+P24+Q24+R24</f>
        <v/>
      </c>
      <c r="T24" s="1" t="n"/>
      <c r="U24" s="43">
        <f>SUM(J24-S24)</f>
        <v/>
      </c>
      <c r="V24" s="44" t="n"/>
      <c r="W24" s="2" t="n"/>
    </row>
    <row r="25" ht="15.75" customHeight="1" s="45">
      <c r="B25" s="30" t="n">
        <v>46218</v>
      </c>
      <c r="C25" s="12">
        <f>IF(B25="","",TEXT(WEEKDAY(B25),"dddd"))</f>
        <v/>
      </c>
      <c r="D25" s="16" t="n"/>
      <c r="E25" s="13">
        <f>IF(D25="","",VLOOKUP(D25,
{0,240;101,260;126,280;151,300;176,320;201,340;226,360;251,380;276,400;301,420;326,440;351,460;376,480},
2,TRUE)
+IF(WEEKDAY(B25,2)=7,48,0))</f>
        <v/>
      </c>
      <c r="F25" s="17" t="n"/>
      <c r="G25" s="18" t="n"/>
      <c r="H25" s="15">
        <f>IF(OR(F25="",G25="",F25=0),"",G25/F25)</f>
        <v/>
      </c>
      <c r="I25" s="31">
        <f>IF(H25=1,20,IF(AND(H25&gt;=98%,H25&lt;100%),10,0))</f>
        <v/>
      </c>
      <c r="J25" s="32">
        <f>E25+I25</f>
        <v/>
      </c>
      <c r="K25" s="1" t="n"/>
      <c r="L25" s="53" t="n"/>
      <c r="M25" s="54" t="n"/>
      <c r="N25" s="1" t="n"/>
      <c r="O25" s="35" t="n"/>
      <c r="P25" s="35" t="n"/>
      <c r="Q25" s="33" t="n"/>
      <c r="R25" s="33" t="n"/>
      <c r="S25" s="34">
        <f>O25+P25+Q25+R25</f>
        <v/>
      </c>
      <c r="T25" s="1" t="n"/>
      <c r="U25" s="43">
        <f>SUM(J25-S25)</f>
        <v/>
      </c>
      <c r="V25" s="44" t="n"/>
      <c r="W25" s="2" t="n"/>
    </row>
    <row r="26" ht="15.75" customHeight="1" s="45">
      <c r="B26" s="30" t="n">
        <v>46219</v>
      </c>
      <c r="C26" s="12">
        <f>IF(B26="","",TEXT(WEEKDAY(B26),"dddd"))</f>
        <v/>
      </c>
      <c r="D26" s="16" t="n"/>
      <c r="E26" s="13">
        <f>IF(D26="","",VLOOKUP(D26,
{0,240;101,260;126,280;151,300;176,320;201,340;226,360;251,380;276,400;301,420;326,440;351,460;376,480},
2,TRUE)
+IF(WEEKDAY(B26,2)=7,48,0))</f>
        <v/>
      </c>
      <c r="F26" s="17" t="n"/>
      <c r="G26" s="18" t="n"/>
      <c r="H26" s="15">
        <f>IF(OR(F26="",G26="",F26=0),"",G26/F26)</f>
        <v/>
      </c>
      <c r="I26" s="31">
        <f>IF(H26=1,20,IF(AND(H26&gt;=98%,H26&lt;100%),10,0))</f>
        <v/>
      </c>
      <c r="J26" s="32">
        <f>E26+I26</f>
        <v/>
      </c>
      <c r="K26" s="1" t="n"/>
      <c r="L26" s="1" t="n"/>
      <c r="M26" s="1" t="n"/>
      <c r="N26" s="1" t="n"/>
      <c r="O26" s="35" t="n"/>
      <c r="P26" s="35" t="n"/>
      <c r="Q26" s="33" t="n"/>
      <c r="R26" s="33" t="n"/>
      <c r="S26" s="34">
        <f>O26+P26+Q26+R26</f>
        <v/>
      </c>
      <c r="T26" s="1" t="n"/>
      <c r="U26" s="43">
        <f>SUM(J26-S26)</f>
        <v/>
      </c>
      <c r="V26" s="44" t="n"/>
      <c r="W26" s="2" t="n"/>
    </row>
    <row r="27" ht="15.75" customHeight="1" s="45">
      <c r="B27" s="30" t="n">
        <v>46220</v>
      </c>
      <c r="C27" s="12">
        <f>IF(B27="","",TEXT(WEEKDAY(B27),"dddd"))</f>
        <v/>
      </c>
      <c r="D27" s="16" t="n"/>
      <c r="E27" s="13">
        <f>IF(D27="","",VLOOKUP(D27,
{0,240;101,260;126,280;151,300;176,320;201,340;226,360;251,380;276,400;301,420;326,440;351,460;376,480},
2,TRUE)
+IF(WEEKDAY(B27,2)=7,48,0))</f>
        <v/>
      </c>
      <c r="F27" s="17" t="n"/>
      <c r="G27" s="18" t="n"/>
      <c r="H27" s="15">
        <f>IF(OR(F27="",G27="",F27=0),"",G27/F27)</f>
        <v/>
      </c>
      <c r="I27" s="31">
        <f>IF(H27=1,20,IF(AND(H27&gt;=98%,H27&lt;100%),10,0))</f>
        <v/>
      </c>
      <c r="J27" s="32">
        <f>E27+I27</f>
        <v/>
      </c>
      <c r="K27" s="1" t="n"/>
      <c r="L27" s="66" t="inlineStr">
        <is>
          <t>1ª bônus 600</t>
        </is>
      </c>
      <c r="M27" s="56" t="n"/>
      <c r="N27" s="1" t="n"/>
      <c r="O27" s="35" t="n"/>
      <c r="P27" s="35" t="n"/>
      <c r="Q27" s="33" t="n"/>
      <c r="R27" s="33" t="n"/>
      <c r="S27" s="34">
        <f>O27+P27+Q27+R27</f>
        <v/>
      </c>
      <c r="T27" s="1" t="n"/>
      <c r="U27" s="43">
        <f>SUM(J27-S27)</f>
        <v/>
      </c>
      <c r="V27" s="44" t="n"/>
      <c r="W27" s="2" t="n"/>
    </row>
    <row r="28" ht="15.75" customHeight="1" s="45">
      <c r="B28" s="30" t="n">
        <v>46221</v>
      </c>
      <c r="C28" s="12">
        <f>IF(B28="","",TEXT(WEEKDAY(B28),"dddd"))</f>
        <v/>
      </c>
      <c r="D28" s="16" t="n"/>
      <c r="E28" s="13">
        <f>IF(D28="","",VLOOKUP(D28,
{0,240;101,260;126,280;151,300;176,320;201,340;226,360;251,380;276,400;301,420;326,440;351,460;376,480},
2,TRUE)
+IF(WEEKDAY(B28,2)=7,48,0))</f>
        <v/>
      </c>
      <c r="F28" s="17" t="n"/>
      <c r="G28" s="18" t="n"/>
      <c r="H28" s="15">
        <f>IF(OR(F28="",G28="",F28=0),"",G28/F28)</f>
        <v/>
      </c>
      <c r="I28" s="31">
        <f>IF(H28=1,20,IF(AND(H28&gt;=98%,H28&lt;100%),10,0))</f>
        <v/>
      </c>
      <c r="J28" s="32">
        <f>E28+I28</f>
        <v/>
      </c>
      <c r="K28" s="1" t="n"/>
      <c r="L28" s="53" t="n"/>
      <c r="M28" s="54" t="n"/>
      <c r="N28" s="1" t="n"/>
      <c r="O28" s="35" t="n"/>
      <c r="P28" s="35" t="n"/>
      <c r="Q28" s="33" t="n"/>
      <c r="R28" s="33" t="n"/>
      <c r="S28" s="34">
        <f>O28+P28+Q28+R28</f>
        <v/>
      </c>
      <c r="T28" s="1" t="n"/>
      <c r="U28" s="43">
        <f>SUM(J28-S28)</f>
        <v/>
      </c>
      <c r="V28" s="44" t="n"/>
      <c r="W28" s="2" t="n"/>
    </row>
    <row r="29" ht="15.75" customHeight="1" s="45">
      <c r="B29" s="30" t="n">
        <v>46222</v>
      </c>
      <c r="C29" s="12">
        <f>IF(B29="","",TEXT(WEEKDAY(B29),"dddd"))</f>
        <v/>
      </c>
      <c r="D29" s="16" t="n"/>
      <c r="E29" s="13">
        <f>IF(D29="","",VLOOKUP(D29,
{0,240;101,260;126,280;151,300;176,320;201,340;226,360;251,380;276,400;301,420;326,440;351,460;376,480},
2,TRUE)
+IF(WEEKDAY(B29,2)=7,48,0))</f>
        <v/>
      </c>
      <c r="F29" s="17" t="n"/>
      <c r="G29" s="18" t="n"/>
      <c r="H29" s="15">
        <f>IF(OR(F29="",G29="",F29=0),"",G29/F29)</f>
        <v/>
      </c>
      <c r="I29" s="31">
        <f>IF(H29=1,20,IF(AND(H29&gt;=98%,H29&lt;100%),10,0))</f>
        <v/>
      </c>
      <c r="J29" s="32">
        <f>E29+I29</f>
        <v/>
      </c>
      <c r="K29" s="1" t="n"/>
      <c r="L29" s="55">
        <f>IF(OR(F37="",G37="",F37=0),"",G37/F37)</f>
        <v/>
      </c>
      <c r="M29" s="56" t="n"/>
      <c r="N29" s="1" t="n"/>
      <c r="O29" s="35" t="n"/>
      <c r="P29" s="35" t="n"/>
      <c r="Q29" s="33" t="n"/>
      <c r="R29" s="33" t="n"/>
      <c r="S29" s="34">
        <f>O29+P29+Q29+R29</f>
        <v/>
      </c>
      <c r="T29" s="1" t="n"/>
      <c r="U29" s="43">
        <f>SUM(J29-S29)</f>
        <v/>
      </c>
      <c r="V29" s="44" t="n"/>
      <c r="W29" s="2" t="n"/>
    </row>
    <row r="30" ht="15.75" customHeight="1" s="45">
      <c r="B30" s="30" t="n">
        <v>46223</v>
      </c>
      <c r="C30" s="12">
        <f>IF(B30="","",TEXT(WEEKDAY(B30),"dddd"))</f>
        <v/>
      </c>
      <c r="D30" s="16" t="n"/>
      <c r="E30" s="13">
        <f>IF(D30="","",VLOOKUP(D30,
{0,240;101,260;126,280;151,300;176,320;201,340;226,360;251,380;276,400;301,420;326,440;351,460;376,480},
2,TRUE)
+IF(WEEKDAY(B30,2)=7,48,0))</f>
        <v/>
      </c>
      <c r="F30" s="17" t="n"/>
      <c r="G30" s="18" t="n"/>
      <c r="H30" s="15">
        <f>IF(OR(F30="",G30="",F30=0),"",G30/F30)</f>
        <v/>
      </c>
      <c r="I30" s="31">
        <f>IF(H30=1,20,IF(AND(H30&gt;=98%,H30&lt;100%),10,0))</f>
        <v/>
      </c>
      <c r="J30" s="32">
        <f>E30+I30</f>
        <v/>
      </c>
      <c r="K30" s="1" t="n"/>
      <c r="L30" s="53" t="n"/>
      <c r="M30" s="54" t="n"/>
      <c r="N30" s="1" t="n"/>
      <c r="O30" s="35" t="n"/>
      <c r="P30" s="35" t="n"/>
      <c r="Q30" s="33" t="n"/>
      <c r="R30" s="33" t="n"/>
      <c r="S30" s="34">
        <f>O30+P30+Q30+R30</f>
        <v/>
      </c>
      <c r="T30" s="1" t="n"/>
      <c r="U30" s="43">
        <f>SUM(J30-S30)</f>
        <v/>
      </c>
      <c r="V30" s="44" t="n"/>
      <c r="W30" s="2" t="n"/>
    </row>
    <row r="31" ht="15.75" customHeight="1" s="45">
      <c r="B31" s="30" t="n">
        <v>46224</v>
      </c>
      <c r="C31" s="12">
        <f>IF(B31="","",TEXT(WEEKDAY(B31),"dddd"))</f>
        <v/>
      </c>
      <c r="D31" s="16" t="n"/>
      <c r="E31" s="13">
        <f>IF(D31="","",VLOOKUP(D31,
{0,240;101,260;126,280;151,300;176,320;201,340;226,360;251,380;276,400;301,420;326,440;351,460;376,480},
2,TRUE)
+IF(WEEKDAY(B31,2)=7,48,0))</f>
        <v/>
      </c>
      <c r="F31" s="17" t="n"/>
      <c r="G31" s="18" t="n"/>
      <c r="H31" s="15">
        <f>IF(OR(F31="",G31="",F31=0),"",G31/F31)</f>
        <v/>
      </c>
      <c r="I31" s="31">
        <f>IF(H31=1,20,IF(AND(H31&gt;=98%,H31&lt;100%),10,0))</f>
        <v/>
      </c>
      <c r="J31" s="32">
        <f>E31+I31</f>
        <v/>
      </c>
      <c r="K31" s="1" t="n"/>
      <c r="L31" s="58">
        <f>COUNTIF(D4:D19,"&gt;0")</f>
        <v/>
      </c>
      <c r="N31" s="1" t="n"/>
      <c r="O31" s="35" t="n"/>
      <c r="P31" s="35" t="n"/>
      <c r="Q31" s="33" t="n"/>
      <c r="R31" s="33" t="n"/>
      <c r="S31" s="34">
        <f>O31+P31+Q31+R31</f>
        <v/>
      </c>
      <c r="T31" s="1" t="n"/>
      <c r="U31" s="43">
        <f>SUM(J31-S31)</f>
        <v/>
      </c>
      <c r="V31" s="44" t="n"/>
      <c r="W31" s="2" t="n"/>
    </row>
    <row r="32" ht="15.75" customHeight="1" s="45">
      <c r="B32" s="30" t="n">
        <v>46225</v>
      </c>
      <c r="C32" s="12">
        <f>IF(B32="","",TEXT(WEEKDAY(B32),"dddd"))</f>
        <v/>
      </c>
      <c r="D32" s="16" t="n"/>
      <c r="E32" s="13">
        <f>IF(D32="","",VLOOKUP(D32,
{0,240;101,260;126,280;151,300;176,320;201,340;226,360;251,380;276,400;301,420;326,440;351,460;376,480},
2,TRUE)
+IF(WEEKDAY(B32,2)=7,48,0))</f>
        <v/>
      </c>
      <c r="F32" s="17" t="n"/>
      <c r="G32" s="18" t="n"/>
      <c r="H32" s="15">
        <f>IF(OR(F32="",G32="",F32=0),"",G32/F32)</f>
        <v/>
      </c>
      <c r="I32" s="31">
        <f>IF(H32=1,20,IF(AND(H32&gt;=98%,H32&lt;100%),10,0))</f>
        <v/>
      </c>
      <c r="J32" s="32">
        <f>E32+I32</f>
        <v/>
      </c>
      <c r="K32" s="1" t="n"/>
      <c r="L32" s="66" t="inlineStr">
        <is>
          <t>2ª bônus 600</t>
        </is>
      </c>
      <c r="M32" s="56" t="n"/>
      <c r="N32" s="1" t="n"/>
      <c r="O32" s="35" t="n"/>
      <c r="P32" s="35" t="n"/>
      <c r="Q32" s="33" t="n"/>
      <c r="R32" s="33" t="n"/>
      <c r="S32" s="34">
        <f>O32+P32+Q32+R32</f>
        <v/>
      </c>
      <c r="T32" s="1" t="n"/>
      <c r="U32" s="43">
        <f>SUM(J32-S32)</f>
        <v/>
      </c>
      <c r="V32" s="44" t="n"/>
      <c r="W32" s="2" t="n"/>
    </row>
    <row r="33" ht="15.75" customHeight="1" s="45">
      <c r="B33" s="30" t="n">
        <v>46226</v>
      </c>
      <c r="C33" s="12">
        <f>IF(B33="","",TEXT(WEEKDAY(B33),"dddd"))</f>
        <v/>
      </c>
      <c r="D33" s="16" t="n"/>
      <c r="E33" s="13">
        <f>IF(D33="","",VLOOKUP(D33,
{0,240;101,260;126,280;151,300;176,320;201,340;226,360;251,380;276,400;301,420;326,440;351,460;376,480},
2,TRUE)
+IF(WEEKDAY(B33,2)=7,48,0))</f>
        <v/>
      </c>
      <c r="F33" s="17" t="n"/>
      <c r="G33" s="18" t="n"/>
      <c r="H33" s="15">
        <f>IF(OR(F33="",G33="",F33=0),"",G33/F33)</f>
        <v/>
      </c>
      <c r="I33" s="31">
        <f>IF(H33=1,20,IF(AND(H33&gt;=98%,H33&lt;100%),10,0))</f>
        <v/>
      </c>
      <c r="J33" s="32">
        <f>E33+I33</f>
        <v/>
      </c>
      <c r="K33" s="1" t="n"/>
      <c r="L33" s="53" t="n"/>
      <c r="M33" s="54" t="n"/>
      <c r="N33" s="1" t="n"/>
      <c r="O33" s="35" t="n"/>
      <c r="P33" s="35" t="n"/>
      <c r="Q33" s="33" t="n"/>
      <c r="R33" s="33" t="n"/>
      <c r="S33" s="34">
        <f>O33+P33+Q33+R33</f>
        <v/>
      </c>
      <c r="T33" s="1" t="n"/>
      <c r="U33" s="43">
        <f>SUM(J33-S33)</f>
        <v/>
      </c>
      <c r="V33" s="44" t="n"/>
      <c r="W33" s="2" t="n"/>
    </row>
    <row r="34" ht="15.75" customHeight="1" s="45">
      <c r="B34" s="30" t="n">
        <v>46227</v>
      </c>
      <c r="C34" s="12">
        <f>IF(B34="","",TEXT(WEEKDAY(B34),"dddd"))</f>
        <v/>
      </c>
      <c r="D34" s="16" t="n"/>
      <c r="E34" s="13">
        <f>IF(D34="","",VLOOKUP(D34,
{0,240;101,260;126,280;151,300;176,320;201,340;226,360;251,380;276,400;301,420;326,440;351,460;376,480},
2,TRUE)
+IF(WEEKDAY(B34,2)=7,48,0))</f>
        <v/>
      </c>
      <c r="F34" s="17" t="n"/>
      <c r="G34" s="18" t="n"/>
      <c r="H34" s="15">
        <f>IF(OR(F34="",G34="",F34=0),"",G34/F34)</f>
        <v/>
      </c>
      <c r="I34" s="31">
        <f>IF(H34=1,20,IF(AND(H34&gt;=98%,H34&lt;100%),10,0))</f>
        <v/>
      </c>
      <c r="J34" s="32">
        <f>E34+I34</f>
        <v/>
      </c>
      <c r="K34" s="1" t="n"/>
      <c r="L34" s="55">
        <f>IF(OR(F38="",G38="",F38=0),"",G38/F38)</f>
        <v/>
      </c>
      <c r="M34" s="56" t="n"/>
      <c r="N34" s="1" t="n"/>
      <c r="O34" s="35" t="n"/>
      <c r="P34" s="35" t="n"/>
      <c r="Q34" s="33" t="n"/>
      <c r="R34" s="33" t="n"/>
      <c r="S34" s="34">
        <f>O34+P34+Q34+R34</f>
        <v/>
      </c>
      <c r="T34" s="1" t="n"/>
      <c r="U34" s="43">
        <f>SUM(J34-S34)</f>
        <v/>
      </c>
      <c r="V34" s="44" t="n"/>
      <c r="W34" s="2" t="n"/>
    </row>
    <row r="35" ht="15.75" customHeight="1" s="45">
      <c r="B35" s="30" t="n">
        <v>46228</v>
      </c>
      <c r="C35" s="12">
        <f>IF(B35="","",TEXT(WEEKDAY(B35),"dddd"))</f>
        <v/>
      </c>
      <c r="D35" s="16" t="n"/>
      <c r="E35" s="13">
        <f>IF(D35="","",VLOOKUP(D35,
{0,240;101,260;126,280;151,300;176,320;201,340;226,360;251,380;276,400;301,420;326,440;351,460;376,480},
2,TRUE)
+IF(WEEKDAY(B35,2)=7,48,0))</f>
        <v/>
      </c>
      <c r="F35" s="26" t="n"/>
      <c r="G35" s="27" t="n"/>
      <c r="H35" s="15">
        <f>IF(OR(F35="",G35="",F35=0),"",G35/F35)</f>
        <v/>
      </c>
      <c r="I35" s="31">
        <f>IF(H35=1,20,IF(AND(H35&gt;=98%,H35&lt;100%),10,0))</f>
        <v/>
      </c>
      <c r="J35" s="32">
        <f>E35+I35</f>
        <v/>
      </c>
      <c r="K35" s="1" t="n"/>
      <c r="L35" s="53" t="n"/>
      <c r="M35" s="54" t="n"/>
      <c r="N35" s="1" t="n"/>
      <c r="O35" s="35" t="n"/>
      <c r="P35" s="35" t="n"/>
      <c r="Q35" s="33" t="n"/>
      <c r="R35" s="33" t="n"/>
      <c r="S35" s="34">
        <f>O35+P35+Q35+R35</f>
        <v/>
      </c>
      <c r="T35" s="1" t="n"/>
      <c r="U35" s="43">
        <f>SUM(J35-S35)</f>
        <v/>
      </c>
      <c r="V35" s="44" t="n"/>
      <c r="W35" s="2" t="n"/>
    </row>
    <row r="36" ht="15.75" customHeight="1" s="4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69">
        <f>COUNTIF(D21:D35,"&gt;0")</f>
        <v/>
      </c>
      <c r="N36" s="1" t="n"/>
      <c r="O36" s="1" t="n"/>
      <c r="P36" s="1" t="n"/>
      <c r="Q36" s="1" t="n"/>
      <c r="R36" s="1" t="n"/>
      <c r="S36" s="1" t="n"/>
      <c r="T36" s="1" t="n"/>
      <c r="U36" s="65" t="n"/>
      <c r="V36" s="44" t="n"/>
      <c r="W36" s="2" t="n"/>
    </row>
    <row r="37" ht="15.75" customHeight="1" s="45">
      <c r="F37" s="28">
        <f>SUM(F4:F19)</f>
        <v/>
      </c>
      <c r="G37" s="28">
        <f>SUM(G4:G19)</f>
        <v/>
      </c>
      <c r="J37" s="41">
        <f>SUM(J4:J19)</f>
        <v/>
      </c>
      <c r="L37" s="29" t="n"/>
    </row>
    <row r="38" ht="15.75" customHeight="1" s="45">
      <c r="F38" s="28">
        <f>SUM(F21:F35)</f>
        <v/>
      </c>
      <c r="G38" s="28">
        <f>SUM(G21:G35)</f>
        <v/>
      </c>
      <c r="J38" s="41">
        <f>SUM(J21:J35)</f>
        <v/>
      </c>
    </row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  <row r="1001" ht="15.75" customHeight="1" s="45"/>
  </sheetData>
  <mergeCells count="85">
    <mergeCell ref="U31:V31"/>
    <mergeCell ref="U40:V40"/>
    <mergeCell ref="U15:V15"/>
    <mergeCell ref="U65:V65"/>
    <mergeCell ref="L22:M23"/>
    <mergeCell ref="L13:M15"/>
    <mergeCell ref="L34:M35"/>
    <mergeCell ref="L6:M7"/>
    <mergeCell ref="L19:M21"/>
    <mergeCell ref="U16:V16"/>
    <mergeCell ref="U57:V57"/>
    <mergeCell ref="U33:V33"/>
    <mergeCell ref="U28:V28"/>
    <mergeCell ref="U42:V42"/>
    <mergeCell ref="L31:M31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A4:A19"/>
    <mergeCell ref="U48:V48"/>
    <mergeCell ref="U32:V32"/>
    <mergeCell ref="L11:M12"/>
    <mergeCell ref="U41:V41"/>
    <mergeCell ref="U13:V13"/>
    <mergeCell ref="U7:V7"/>
    <mergeCell ref="U47:V47"/>
    <mergeCell ref="U56:V56"/>
    <mergeCell ref="U43:V43"/>
    <mergeCell ref="U24:V24"/>
    <mergeCell ref="U18:V18"/>
    <mergeCell ref="U58:V58"/>
    <mergeCell ref="U8:V8"/>
    <mergeCell ref="U63:V63"/>
    <mergeCell ref="U10:V10"/>
    <mergeCell ref="U50:V50"/>
    <mergeCell ref="U19:V19"/>
    <mergeCell ref="U44:V44"/>
    <mergeCell ref="U34:V34"/>
    <mergeCell ref="U9:V9"/>
    <mergeCell ref="U49:V49"/>
    <mergeCell ref="L1:M2"/>
    <mergeCell ref="U36:V36"/>
    <mergeCell ref="U30:V30"/>
    <mergeCell ref="U45:V45"/>
    <mergeCell ref="L27:M28"/>
    <mergeCell ref="U37:V37"/>
    <mergeCell ref="A21:A35"/>
    <mergeCell ref="L17:M18"/>
    <mergeCell ref="U12:V12"/>
    <mergeCell ref="U21:V21"/>
    <mergeCell ref="U62:V62"/>
    <mergeCell ref="U55:V55"/>
    <mergeCell ref="L3:M4"/>
    <mergeCell ref="U64:V64"/>
    <mergeCell ref="U51:V51"/>
    <mergeCell ref="U1:V3"/>
    <mergeCell ref="U26:V26"/>
    <mergeCell ref="U35:V35"/>
    <mergeCell ref="L29:M30"/>
    <mergeCell ref="U27:V27"/>
    <mergeCell ref="U17:V17"/>
    <mergeCell ref="U11:V11"/>
    <mergeCell ref="U25:V25"/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</mergeCells>
  <conditionalFormatting sqref="C4:C35">
    <cfRule type="beginsWith" priority="1" operator="beginsWith" dxfId="0" text="d">
      <formula>LEFT((C4),LEN("d"))=("d")</formula>
    </cfRule>
  </conditionalFormatting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67"/>
  <sheetViews>
    <sheetView workbookViewId="0">
      <selection activeCell="A1" sqref="A1"/>
    </sheetView>
  </sheetViews>
  <sheetFormatPr baseColWidth="8" defaultColWidth="12.5703125" defaultRowHeight="15" customHeight="1"/>
  <cols>
    <col width="8.7109375" customWidth="1" style="45" min="1" max="1"/>
    <col width="12.5703125" customWidth="1" style="45" min="2" max="4"/>
    <col width="12.7109375" customWidth="1" style="45" min="5" max="5"/>
    <col width="12.5703125" customWidth="1" style="45" min="6" max="6"/>
    <col width="4.42578125" customWidth="1" style="45" min="11" max="11"/>
    <col width="4.140625" customWidth="1" style="45" min="14" max="14"/>
    <col width="4.28515625" customWidth="1" style="45" min="20" max="20"/>
    <col width="4.140625" customWidth="1" style="45" min="23" max="23"/>
  </cols>
  <sheetData>
    <row r="1" ht="15.75" customHeight="1" s="45">
      <c r="A1" s="1" t="n"/>
      <c r="B1" s="1" t="n"/>
      <c r="C1" s="68" t="inlineStr">
        <is>
          <t>planilha de ganhos Ac2</t>
        </is>
      </c>
      <c r="D1" s="62" t="n"/>
      <c r="E1" s="62" t="n"/>
      <c r="F1" s="62" t="n"/>
      <c r="G1" s="62" t="n"/>
      <c r="H1" s="47" t="n"/>
      <c r="I1" s="1" t="n"/>
      <c r="J1" s="1" t="n"/>
      <c r="K1" s="1" t="n"/>
      <c r="L1" s="46" t="inlineStr">
        <is>
          <t>1ª Quizena</t>
        </is>
      </c>
      <c r="M1" s="47" t="n"/>
      <c r="N1" s="1" t="n"/>
      <c r="O1" s="61" t="inlineStr">
        <is>
          <t>Gastos</t>
        </is>
      </c>
      <c r="P1" s="62" t="n"/>
      <c r="Q1" s="62" t="n"/>
      <c r="R1" s="62" t="n"/>
      <c r="S1" s="47" t="n"/>
      <c r="T1" s="1" t="n"/>
      <c r="U1" s="67" t="inlineStr">
        <is>
          <t>lucro diario</t>
        </is>
      </c>
      <c r="V1" s="56" t="n"/>
      <c r="W1" s="2" t="n"/>
    </row>
    <row r="2" ht="15.75" customHeight="1" s="45">
      <c r="A2" s="1" t="n"/>
      <c r="B2" s="1" t="n"/>
      <c r="C2" s="48" t="n"/>
      <c r="D2" s="63" t="n"/>
      <c r="E2" s="63" t="n"/>
      <c r="F2" s="63" t="n"/>
      <c r="G2" s="63" t="n"/>
      <c r="H2" s="49" t="n"/>
      <c r="I2" s="1" t="n"/>
      <c r="J2" s="1" t="n"/>
      <c r="K2" s="1" t="n"/>
      <c r="L2" s="48" t="n"/>
      <c r="M2" s="49" t="n"/>
      <c r="N2" s="1" t="n"/>
      <c r="O2" s="48" t="n"/>
      <c r="P2" s="63" t="n"/>
      <c r="Q2" s="63" t="n"/>
      <c r="R2" s="63" t="n"/>
      <c r="S2" s="49" t="n"/>
      <c r="T2" s="1" t="n"/>
      <c r="U2" s="52" t="n"/>
      <c r="V2" s="51" t="n"/>
      <c r="W2" s="2" t="n"/>
    </row>
    <row r="3" ht="15.75" customHeight="1" s="45">
      <c r="A3" s="3" t="n"/>
      <c r="B3" s="4" t="inlineStr">
        <is>
          <t>Data</t>
        </is>
      </c>
      <c r="C3" s="5" t="inlineStr">
        <is>
          <t>Dia semana</t>
        </is>
      </c>
      <c r="D3" s="6" t="inlineStr">
        <is>
          <t>Km executado</t>
        </is>
      </c>
      <c r="E3" s="5" t="inlineStr">
        <is>
          <t>R$ Diaria</t>
        </is>
      </c>
      <c r="F3" s="5" t="inlineStr">
        <is>
          <t>Qtd. Pacotes</t>
        </is>
      </c>
      <c r="G3" s="5" t="inlineStr">
        <is>
          <t xml:space="preserve">Qtd.entregas </t>
        </is>
      </c>
      <c r="H3" s="5" t="inlineStr">
        <is>
          <t>% de Entrega</t>
        </is>
      </c>
      <c r="I3" s="7" t="inlineStr">
        <is>
          <t>bônus 1</t>
        </is>
      </c>
      <c r="J3" s="8" t="inlineStr">
        <is>
          <t>Total</t>
        </is>
      </c>
      <c r="K3" s="1" t="n"/>
      <c r="L3" s="50">
        <f>J37+IF(AND(L31&gt;=13,L29&gt;=98%,L29&lt;=100%),600,0)</f>
        <v/>
      </c>
      <c r="M3" s="51" t="n"/>
      <c r="N3" s="1" t="n"/>
      <c r="O3" s="9" t="inlineStr">
        <is>
          <t>Gasolina</t>
        </is>
      </c>
      <c r="P3" s="9" t="inlineStr">
        <is>
          <t xml:space="preserve">Almoço </t>
        </is>
      </c>
      <c r="Q3" s="10" t="inlineStr">
        <is>
          <t xml:space="preserve">Besteira </t>
        </is>
      </c>
      <c r="R3" s="10" t="inlineStr">
        <is>
          <t>Carro</t>
        </is>
      </c>
      <c r="S3" s="11" t="inlineStr">
        <is>
          <t>Total</t>
        </is>
      </c>
      <c r="T3" s="1" t="n"/>
      <c r="U3" s="53" t="n"/>
      <c r="V3" s="54" t="n"/>
      <c r="W3" s="2" t="n"/>
    </row>
    <row r="4" ht="15.75" customHeight="1" s="45">
      <c r="A4" s="64" t="n">
        <v>1</v>
      </c>
      <c r="B4" s="30" t="n">
        <v>46229</v>
      </c>
      <c r="C4" s="12">
        <f>IF(B4="","",TEXT(WEEKDAY(B4),"dddd"))</f>
        <v/>
      </c>
      <c r="D4" s="16" t="n"/>
      <c r="E4" s="13">
        <f>IF(D4="","",VLOOKUP(D4,
{0,240;101,260;126,280;151,300;176,320;201,340;226,360;251,380;276,400;301,420;326,440;351,460;376,480},
2,TRUE)
+IF(WEEKDAY(B4,2)=7,48,0))</f>
        <v/>
      </c>
      <c r="F4" s="14" t="n"/>
      <c r="G4" s="18" t="n"/>
      <c r="H4" s="15">
        <f>IF(OR(F4="",G4="",F4=0),"",G4/F4)</f>
        <v/>
      </c>
      <c r="I4" s="31">
        <f>IF(H4=1,20,IF(AND(H4&gt;=98%,H4&lt;100%),10,0))</f>
        <v/>
      </c>
      <c r="J4" s="32">
        <f>E4+I4</f>
        <v/>
      </c>
      <c r="K4" s="1" t="n"/>
      <c r="L4" s="53" t="n"/>
      <c r="M4" s="54" t="n"/>
      <c r="N4" s="1" t="n"/>
      <c r="O4" s="33" t="n"/>
      <c r="P4" s="33" t="n"/>
      <c r="Q4" s="33" t="n"/>
      <c r="R4" s="33" t="n"/>
      <c r="S4" s="34">
        <f>O4+P4+Q4+R4</f>
        <v/>
      </c>
      <c r="T4" s="1" t="n"/>
      <c r="U4" s="43">
        <f>SUM(J4-S4)</f>
        <v/>
      </c>
      <c r="V4" s="44" t="n"/>
      <c r="W4" s="2" t="n"/>
    </row>
    <row r="5" ht="15.75" customHeight="1" s="45">
      <c r="B5" s="30" t="n">
        <v>46230</v>
      </c>
      <c r="C5" s="12">
        <f>IF(B5="","",TEXT(WEEKDAY(B5),"dddd"))</f>
        <v/>
      </c>
      <c r="D5" s="16" t="n"/>
      <c r="E5" s="13">
        <f>IF(D5="","",VLOOKUP(D5,
{0,240;101,260;126,280;151,300;176,320;201,340;226,360;251,380;276,400;301,420;326,440;351,460;376,480},
2,TRUE)
+IF(WEEKDAY(B5,2)=7,48,0))</f>
        <v/>
      </c>
      <c r="F5" s="17" t="n"/>
      <c r="G5" s="18" t="n"/>
      <c r="H5" s="15">
        <f>IF(OR(F5="",G5="",F5=0),"",G5/F5)</f>
        <v/>
      </c>
      <c r="I5" s="31">
        <f>IF(H5=1,20,IF(AND(H5&gt;=98%,H5&lt;100%),10,0))</f>
        <v/>
      </c>
      <c r="J5" s="32">
        <f>E5+I5</f>
        <v/>
      </c>
      <c r="K5" s="1" t="n"/>
      <c r="L5" s="1" t="n"/>
      <c r="M5" s="1" t="n"/>
      <c r="N5" s="1" t="n"/>
      <c r="O5" s="35" t="n"/>
      <c r="P5" s="35" t="n"/>
      <c r="Q5" s="33" t="n"/>
      <c r="R5" s="33" t="n"/>
      <c r="S5" s="34">
        <f>O5+P5+Q5+R5</f>
        <v/>
      </c>
      <c r="T5" s="1" t="n"/>
      <c r="U5" s="43">
        <f>SUM(J5-S5)</f>
        <v/>
      </c>
      <c r="V5" s="44" t="n"/>
      <c r="W5" s="2" t="n"/>
    </row>
    <row r="6" ht="15.75" customHeight="1" s="45">
      <c r="B6" s="30" t="n">
        <v>46231</v>
      </c>
      <c r="C6" s="12">
        <f>IF(B6="","",TEXT(WEEKDAY(B6),"dddd"))</f>
        <v/>
      </c>
      <c r="D6" s="16" t="n"/>
      <c r="E6" s="13">
        <f>IF(D6="","",VLOOKUP(D6,
{0,240;101,260;126,280;151,300;176,320;201,340;226,360;251,380;276,400;301,420;326,440;351,460;376,480},
2,TRUE)
+IF(WEEKDAY(B6,2)=7,48,0))</f>
        <v/>
      </c>
      <c r="F6" s="17" t="n"/>
      <c r="G6" s="18" t="n"/>
      <c r="H6" s="15">
        <f>IF(OR(F6="",G6="",F6=0),"",G6/F6)</f>
        <v/>
      </c>
      <c r="I6" s="31">
        <f>IF(H6=1,20,IF(AND(H6&gt;=98%,H6&lt;100%),10,0))</f>
        <v/>
      </c>
      <c r="J6" s="32">
        <f>E6+I6</f>
        <v/>
      </c>
      <c r="K6" s="1" t="n"/>
      <c r="L6" s="46" t="inlineStr">
        <is>
          <t>2ª Quizena</t>
        </is>
      </c>
      <c r="M6" s="47" t="n"/>
      <c r="N6" s="1" t="n"/>
      <c r="O6" s="35" t="n"/>
      <c r="P6" s="35" t="n"/>
      <c r="Q6" s="33" t="n"/>
      <c r="R6" s="33" t="n"/>
      <c r="S6" s="34">
        <f>O6+P6+Q6+R6</f>
        <v/>
      </c>
      <c r="T6" s="1" t="n"/>
      <c r="U6" s="43">
        <f>SUM(J6-S6)</f>
        <v/>
      </c>
      <c r="V6" s="44" t="n"/>
      <c r="W6" s="2" t="n"/>
    </row>
    <row r="7" ht="15.75" customHeight="1" s="45">
      <c r="B7" s="30" t="n">
        <v>46232</v>
      </c>
      <c r="C7" s="12">
        <f>IF(B7="","",TEXT(WEEKDAY(B7),"dddd"))</f>
        <v/>
      </c>
      <c r="D7" s="16" t="n"/>
      <c r="E7" s="13">
        <f>IF(D7="","",VLOOKUP(D7,
{0,240;101,260;126,280;151,300;176,320;201,340;226,360;251,380;276,400;301,420;326,440;351,460;376,480},
2,TRUE)
+IF(WEEKDAY(B7,2)=7,48,0))</f>
        <v/>
      </c>
      <c r="F7" s="17" t="n"/>
      <c r="G7" s="18" t="n"/>
      <c r="H7" s="15">
        <f>IF(OR(F7="",G7="",F7=0),"",G7/F7)</f>
        <v/>
      </c>
      <c r="I7" s="31">
        <f>IF(H7=1,20,IF(AND(H7&gt;=98%,H7&lt;100%),10,0))</f>
        <v/>
      </c>
      <c r="J7" s="32">
        <f>E7+I7</f>
        <v/>
      </c>
      <c r="K7" s="1" t="n"/>
      <c r="L7" s="48" t="n"/>
      <c r="M7" s="49" t="n"/>
      <c r="N7" s="1" t="n"/>
      <c r="O7" s="35" t="n"/>
      <c r="P7" s="35" t="n"/>
      <c r="Q7" s="33" t="n"/>
      <c r="R7" s="33" t="n"/>
      <c r="S7" s="34">
        <f>O7+P7+Q7+R7</f>
        <v/>
      </c>
      <c r="T7" s="1" t="n"/>
      <c r="U7" s="43">
        <f>SUM(J7-S7)</f>
        <v/>
      </c>
      <c r="V7" s="44" t="n"/>
      <c r="W7" s="2" t="n"/>
    </row>
    <row r="8" ht="15.75" customHeight="1" s="45">
      <c r="B8" s="30" t="n">
        <v>46233</v>
      </c>
      <c r="C8" s="12">
        <f>IF(B8="","",TEXT(WEEKDAY(B8),"dddd"))</f>
        <v/>
      </c>
      <c r="D8" s="16" t="n"/>
      <c r="E8" s="13">
        <f>IF(D8="","",VLOOKUP(D8,
{0,240;101,260;126,280;151,300;176,320;201,340;226,360;251,380;276,400;301,420;326,440;351,460;376,480},
2,TRUE)
+IF(WEEKDAY(B8,2)=7,48,0))</f>
        <v/>
      </c>
      <c r="F8" s="17" t="n"/>
      <c r="G8" s="18" t="n"/>
      <c r="H8" s="15">
        <f>IF(OR(F8="",G8="",F8=0),"",G8/F8)</f>
        <v/>
      </c>
      <c r="I8" s="31">
        <f>IF(H8=1,20,IF(AND(H8&gt;=98%,H8&lt;100%),10,0))</f>
        <v/>
      </c>
      <c r="J8" s="32">
        <f>E8+I8</f>
        <v/>
      </c>
      <c r="K8" s="1" t="n"/>
      <c r="L8" s="50">
        <f>J38+IF(AND(L36&gt;=13,L29&gt;=98%,L29&lt;=100%),600,0)</f>
        <v/>
      </c>
      <c r="M8" s="51" t="n"/>
      <c r="N8" s="1" t="n"/>
      <c r="O8" s="35" t="n"/>
      <c r="P8" s="35" t="n"/>
      <c r="Q8" s="33" t="n"/>
      <c r="R8" s="33" t="n"/>
      <c r="S8" s="34">
        <f>O8+P8+Q8+R8</f>
        <v/>
      </c>
      <c r="T8" s="1" t="n"/>
      <c r="U8" s="43">
        <f>SUM(J8-S8)</f>
        <v/>
      </c>
      <c r="V8" s="44" t="n"/>
      <c r="W8" s="2" t="n"/>
    </row>
    <row r="9" ht="15.75" customHeight="1" s="45">
      <c r="B9" s="30" t="n">
        <v>46234</v>
      </c>
      <c r="C9" s="12">
        <f>IF(B9="","",TEXT(WEEKDAY(B9),"dddd"))</f>
        <v/>
      </c>
      <c r="D9" s="16" t="n"/>
      <c r="E9" s="13">
        <f>IF(D9="","",VLOOKUP(D9,
{0,240;101,260;126,280;151,300;176,320;201,340;226,360;251,380;276,400;301,420;326,440;351,460;376,480},
2,TRUE)
+IF(WEEKDAY(B9,2)=7,48,0))</f>
        <v/>
      </c>
      <c r="F9" s="17" t="n"/>
      <c r="G9" s="18" t="n"/>
      <c r="H9" s="15">
        <f>IF(OR(F9="",G9="",F9=0),"",G9/F9)</f>
        <v/>
      </c>
      <c r="I9" s="31">
        <f>IF(H9=1,20,IF(AND(H9&gt;=98%,H9&lt;100%),10,0))</f>
        <v/>
      </c>
      <c r="J9" s="32">
        <f>E9+I9</f>
        <v/>
      </c>
      <c r="K9" s="1" t="n"/>
      <c r="L9" s="53" t="n"/>
      <c r="M9" s="54" t="n"/>
      <c r="N9" s="1" t="n"/>
      <c r="O9" s="35" t="n"/>
      <c r="P9" s="35" t="n"/>
      <c r="Q9" s="33" t="n"/>
      <c r="R9" s="33" t="n"/>
      <c r="S9" s="34">
        <f>O9+P9+Q9+R9</f>
        <v/>
      </c>
      <c r="T9" s="1" t="n"/>
      <c r="U9" s="43">
        <f>SUM(J9-S9)</f>
        <v/>
      </c>
      <c r="V9" s="44" t="n"/>
      <c r="W9" s="2" t="n"/>
    </row>
    <row r="10" ht="15.75" customHeight="1" s="45">
      <c r="B10" s="30" t="n">
        <v>46235</v>
      </c>
      <c r="C10" s="12">
        <f>IF(B10="","",TEXT(WEEKDAY(B10),"dddd"))</f>
        <v/>
      </c>
      <c r="D10" s="16" t="n"/>
      <c r="E10" s="13">
        <f>IF(D10="","",VLOOKUP(D10,
{0,240;101,260;126,280;151,300;176,320;201,340;226,360;251,380;276,400;301,420;326,440;351,460;376,480},
2,TRUE)
+IF(WEEKDAY(B10,2)=7,48,0))</f>
        <v/>
      </c>
      <c r="F10" s="17" t="n"/>
      <c r="G10" s="18" t="n"/>
      <c r="H10" s="15">
        <f>IF(OR(F10="",G10="",F10=0),"",G10/F10)</f>
        <v/>
      </c>
      <c r="I10" s="31">
        <f>IF(H10=1,20,IF(AND(H10&gt;=98%,H10&lt;100%),10,0))</f>
        <v/>
      </c>
      <c r="J10" s="32">
        <f>E10+I10</f>
        <v/>
      </c>
      <c r="K10" s="1" t="n"/>
      <c r="L10" s="1" t="n"/>
      <c r="M10" s="1" t="n"/>
      <c r="N10" s="1" t="n"/>
      <c r="O10" s="35" t="n"/>
      <c r="P10" s="35" t="n"/>
      <c r="Q10" s="33" t="n"/>
      <c r="R10" s="33" t="n"/>
      <c r="S10" s="34">
        <f>O10+P10+Q10+R10</f>
        <v/>
      </c>
      <c r="T10" s="1" t="n"/>
      <c r="U10" s="43">
        <f>SUM(J10-S10)</f>
        <v/>
      </c>
      <c r="V10" s="44" t="n"/>
      <c r="W10" s="2" t="n"/>
    </row>
    <row r="11" ht="15.75" customHeight="1" s="45">
      <c r="B11" s="30" t="n">
        <v>46236</v>
      </c>
      <c r="C11" s="12">
        <f>IF(B11="","",TEXT(WEEKDAY(B11),"dddd"))</f>
        <v/>
      </c>
      <c r="D11" s="16" t="n"/>
      <c r="E11" s="13">
        <f>IF(D11="","",VLOOKUP(D11,
{0,240;101,260;126,280;151,300;176,320;201,340;226,360;251,380;276,400;301,420;326,440;351,460;376,480},
2,TRUE)
+IF(WEEKDAY(B11,2)=7,48,0))</f>
        <v/>
      </c>
      <c r="F11" s="17" t="n"/>
      <c r="G11" s="18" t="n"/>
      <c r="H11" s="15">
        <f>IF(OR(F11="",G11="",F11=0),"",G11/F11)</f>
        <v/>
      </c>
      <c r="I11" s="31">
        <f>IF(H11=1,20,IF(AND(H11&gt;=98%,H11&lt;100%),10,0))</f>
        <v/>
      </c>
      <c r="J11" s="32">
        <f>E11+I11</f>
        <v/>
      </c>
      <c r="K11" s="1" t="n"/>
      <c r="L11" s="46" t="inlineStr">
        <is>
          <t>Total/Ganho</t>
        </is>
      </c>
      <c r="M11" s="47" t="n"/>
      <c r="N11" s="1" t="n"/>
      <c r="O11" s="35" t="n"/>
      <c r="P11" s="35" t="n"/>
      <c r="Q11" s="33" t="n"/>
      <c r="R11" s="33" t="n"/>
      <c r="S11" s="34">
        <f>O11+P11+Q11+R11</f>
        <v/>
      </c>
      <c r="T11" s="1" t="n"/>
      <c r="U11" s="43">
        <f>SUM(J11-S11)</f>
        <v/>
      </c>
      <c r="V11" s="44" t="n"/>
      <c r="W11" s="2" t="n"/>
    </row>
    <row r="12" ht="15.75" customHeight="1" s="45">
      <c r="B12" s="30" t="n">
        <v>46237</v>
      </c>
      <c r="C12" s="12">
        <f>IF(B12="","",TEXT(WEEKDAY(B12),"dddd"))</f>
        <v/>
      </c>
      <c r="D12" s="16" t="n"/>
      <c r="E12" s="13">
        <f>IF(D12="","",VLOOKUP(D12,
{0,240;101,260;126,280;151,300;176,320;201,340;226,360;251,380;276,400;301,420;326,440;351,460;376,480},
2,TRUE)
+IF(WEEKDAY(B12,2)=7,48,0))</f>
        <v/>
      </c>
      <c r="F12" s="17" t="n"/>
      <c r="G12" s="18" t="n"/>
      <c r="H12" s="15">
        <f>IF(OR(F12="",G12="",F12=0),"",G12/F12)</f>
        <v/>
      </c>
      <c r="I12" s="31">
        <f>IF(H12=1,20,IF(AND(H12&gt;=98%,H12&lt;100%),10,0))</f>
        <v/>
      </c>
      <c r="J12" s="32">
        <f>E12+I12</f>
        <v/>
      </c>
      <c r="K12" s="1" t="n"/>
      <c r="L12" s="48" t="n"/>
      <c r="M12" s="49" t="n"/>
      <c r="N12" s="1" t="n"/>
      <c r="O12" s="35" t="n"/>
      <c r="P12" s="35" t="n"/>
      <c r="Q12" s="33" t="n"/>
      <c r="R12" s="33" t="n"/>
      <c r="S12" s="34">
        <f>O12+P12+Q12+R12</f>
        <v/>
      </c>
      <c r="T12" s="1" t="n"/>
      <c r="U12" s="43">
        <f>SUM(J12-S12)</f>
        <v/>
      </c>
      <c r="V12" s="44" t="n"/>
      <c r="W12" s="2" t="n"/>
    </row>
    <row r="13" ht="15.75" customHeight="1" s="45">
      <c r="B13" s="30" t="n">
        <v>46238</v>
      </c>
      <c r="C13" s="12">
        <f>IF(B13="","",TEXT(WEEKDAY(B13),"dddd"))</f>
        <v/>
      </c>
      <c r="D13" s="16" t="n"/>
      <c r="E13" s="13">
        <f>IF(D13="","",VLOOKUP(D13,
{0,240;101,260;126,280;151,300;176,320;201,340;226,360;251,380;276,400;301,420;326,440;351,460;376,480},
2,TRUE)
+IF(WEEKDAY(B13,2)=7,48,0))</f>
        <v/>
      </c>
      <c r="F13" s="17" t="n"/>
      <c r="G13" s="18" t="n"/>
      <c r="H13" s="15">
        <f>IF(OR(F13="",G13="",F13=0),"",G13/F13)</f>
        <v/>
      </c>
      <c r="I13" s="31">
        <f>IF(H13=1,20,IF(AND(H13&gt;=98%,H13&lt;100%),10,0))</f>
        <v/>
      </c>
      <c r="J13" s="32">
        <f>E13+I13</f>
        <v/>
      </c>
      <c r="K13" s="1" t="n"/>
      <c r="L13" s="50">
        <f>SUM(L3+L8)</f>
        <v/>
      </c>
      <c r="M13" s="51" t="n"/>
      <c r="N13" s="1" t="n"/>
      <c r="O13" s="35" t="n"/>
      <c r="P13" s="35" t="n"/>
      <c r="Q13" s="33" t="n"/>
      <c r="R13" s="33" t="n"/>
      <c r="S13" s="34">
        <f>O13+P13+Q13+R13</f>
        <v/>
      </c>
      <c r="T13" s="1" t="n"/>
      <c r="U13" s="43">
        <f>SUM(J13-S13)</f>
        <v/>
      </c>
      <c r="V13" s="44" t="n"/>
      <c r="W13" s="2" t="n"/>
    </row>
    <row r="14" ht="15.75" customHeight="1" s="45">
      <c r="B14" s="30" t="n">
        <v>46239</v>
      </c>
      <c r="C14" s="12">
        <f>IF(B14="","",TEXT(WEEKDAY(B14),"dddd"))</f>
        <v/>
      </c>
      <c r="D14" s="16" t="n"/>
      <c r="E14" s="13">
        <f>IF(D14="","",VLOOKUP(D14,
{0,240;101,260;126,280;151,300;176,320;201,340;226,360;251,380;276,400;301,420;326,440;351,460;376,480},
2,TRUE)
+IF(WEEKDAY(B14,2)=7,48,0))</f>
        <v/>
      </c>
      <c r="F14" s="17" t="n"/>
      <c r="G14" s="18" t="n"/>
      <c r="H14" s="15">
        <f>IF(OR(F14="",G14="",F14=0),"",G14/F14)</f>
        <v/>
      </c>
      <c r="I14" s="31">
        <f>IF(H14=1,20,IF(AND(H14&gt;=98%,H14&lt;100%),10,0))</f>
        <v/>
      </c>
      <c r="J14" s="32">
        <f>E14+I14</f>
        <v/>
      </c>
      <c r="K14" s="1" t="n"/>
      <c r="L14" s="52" t="n"/>
      <c r="M14" s="51" t="n"/>
      <c r="N14" s="1" t="n"/>
      <c r="O14" s="35" t="n"/>
      <c r="P14" s="35" t="n"/>
      <c r="Q14" s="33" t="n"/>
      <c r="R14" s="33" t="n"/>
      <c r="S14" s="34">
        <f>O14+P14+Q14+R14</f>
        <v/>
      </c>
      <c r="T14" s="1" t="n"/>
      <c r="U14" s="43">
        <f>SUM(J14-S14)</f>
        <v/>
      </c>
      <c r="V14" s="44" t="n"/>
      <c r="W14" s="2" t="n"/>
    </row>
    <row r="15" ht="15.75" customHeight="1" s="45">
      <c r="B15" s="30" t="n">
        <v>46240</v>
      </c>
      <c r="C15" s="12">
        <f>IF(B15="","",TEXT(WEEKDAY(B15),"dddd"))</f>
        <v/>
      </c>
      <c r="D15" s="16" t="n"/>
      <c r="E15" s="13">
        <f>IF(D15="","",VLOOKUP(D15,
{0,240;101,260;126,280;151,300;176,320;201,340;226,360;251,380;276,400;301,420;326,440;351,460;376,480},
2,TRUE)
+IF(WEEKDAY(B15,2)=7,48,0))</f>
        <v/>
      </c>
      <c r="F15" s="17" t="n"/>
      <c r="G15" s="18" t="n"/>
      <c r="H15" s="15">
        <f>IF(OR(F15="",G15="",F15=0),"",G15/F15)</f>
        <v/>
      </c>
      <c r="I15" s="31">
        <f>IF(H15=1,20,IF(AND(H15&gt;=98%,H15&lt;100%),10,0))</f>
        <v/>
      </c>
      <c r="J15" s="32">
        <f>E15+I15</f>
        <v/>
      </c>
      <c r="K15" s="1" t="n"/>
      <c r="L15" s="53" t="n"/>
      <c r="M15" s="54" t="n"/>
      <c r="N15" s="1" t="n"/>
      <c r="O15" s="35" t="n"/>
      <c r="P15" s="35" t="n"/>
      <c r="Q15" s="33" t="n"/>
      <c r="R15" s="33" t="n"/>
      <c r="S15" s="34">
        <f>O15+P15+Q15+R15</f>
        <v/>
      </c>
      <c r="T15" s="1" t="n"/>
      <c r="U15" s="43">
        <f>SUM(J15-S15)</f>
        <v/>
      </c>
      <c r="V15" s="44" t="n"/>
      <c r="W15" s="2" t="n"/>
    </row>
    <row r="16" ht="15.75" customHeight="1" s="45">
      <c r="B16" s="30" t="n">
        <v>46241</v>
      </c>
      <c r="C16" s="12">
        <f>IF(B16="","",TEXT(WEEKDAY(B16),"dddd"))</f>
        <v/>
      </c>
      <c r="D16" s="16" t="n"/>
      <c r="E16" s="13">
        <f>IF(D16="","",VLOOKUP(D16,
{0,240;101,260;126,280;151,300;176,320;201,340;226,360;251,380;276,400;301,420;326,440;351,460;376,480},
2,TRUE)
+IF(WEEKDAY(B16,2)=7,48,0))</f>
        <v/>
      </c>
      <c r="F16" s="17" t="n"/>
      <c r="G16" s="18" t="n"/>
      <c r="H16" s="15">
        <f>IF(OR(F16="",G16="",F16=0),"",G16/F16)</f>
        <v/>
      </c>
      <c r="I16" s="31">
        <f>IF(H16=1,20,IF(AND(H16&gt;=98%,H16&lt;100%),10,0))</f>
        <v/>
      </c>
      <c r="J16" s="32">
        <f>E16+I16</f>
        <v/>
      </c>
      <c r="K16" s="1" t="n"/>
      <c r="L16" s="1" t="n"/>
      <c r="M16" s="1" t="n"/>
      <c r="N16" s="1" t="n"/>
      <c r="O16" s="35" t="n"/>
      <c r="P16" s="35" t="n"/>
      <c r="Q16" s="33" t="n"/>
      <c r="R16" s="33" t="n"/>
      <c r="S16" s="34">
        <f>O16+P16+Q16+R16</f>
        <v/>
      </c>
      <c r="T16" s="1" t="n"/>
      <c r="U16" s="43">
        <f>SUM(J16-S16)</f>
        <v/>
      </c>
      <c r="V16" s="44" t="n"/>
      <c r="W16" s="2" t="n"/>
    </row>
    <row r="17" ht="15.75" customHeight="1" s="45">
      <c r="B17" s="30" t="n">
        <v>46242</v>
      </c>
      <c r="C17" s="12">
        <f>IF(B17="","",TEXT(WEEKDAY(B17),"dddd"))</f>
        <v/>
      </c>
      <c r="D17" s="16" t="n"/>
      <c r="E17" s="13">
        <f>IF(D17="","",VLOOKUP(D17,
{0,240;101,260;126,280;151,300;176,320;201,340;226,360;251,380;276,400;301,420;326,440;351,460;376,480},
2,TRUE)
+IF(WEEKDAY(B17,2)=7,48,0))</f>
        <v/>
      </c>
      <c r="F17" s="17" t="n"/>
      <c r="G17" s="18" t="n"/>
      <c r="H17" s="15">
        <f>IF(OR(F17="",G17="",F17=0),"",G17/F17)</f>
        <v/>
      </c>
      <c r="I17" s="31">
        <f>IF(H17=1,20,IF(AND(H17&gt;=98%,H17&lt;100%),10,0))</f>
        <v/>
      </c>
      <c r="J17" s="32">
        <f>E17+I17</f>
        <v/>
      </c>
      <c r="K17" s="1" t="n"/>
      <c r="L17" s="46" t="inlineStr">
        <is>
          <t>Total/Gasto</t>
        </is>
      </c>
      <c r="M17" s="47" t="n"/>
      <c r="N17" s="1" t="n"/>
      <c r="O17" s="35" t="n"/>
      <c r="P17" s="35" t="n"/>
      <c r="Q17" s="33" t="n"/>
      <c r="R17" s="33" t="n"/>
      <c r="S17" s="34">
        <f>O17+P17+Q17+R17</f>
        <v/>
      </c>
      <c r="T17" s="1" t="n"/>
      <c r="U17" s="43">
        <f>SUM(J17-S17)</f>
        <v/>
      </c>
      <c r="V17" s="44" t="n"/>
      <c r="W17" s="2" t="n"/>
    </row>
    <row r="18" ht="15.75" customHeight="1" s="45">
      <c r="B18" s="30" t="n">
        <v>46243</v>
      </c>
      <c r="C18" s="12">
        <f>IF(B18="","",TEXT(WEEKDAY(B18),"dddd"))</f>
        <v/>
      </c>
      <c r="D18" s="16" t="n"/>
      <c r="E18" s="13">
        <f>IF(D18="","",VLOOKUP(D18,
{0,240;101,260;126,280;151,300;176,320;201,340;226,360;251,380;276,400;301,420;326,440;351,460;376,480},
2,TRUE)
+IF(WEEKDAY(B18,2)=7,48,0))</f>
        <v/>
      </c>
      <c r="F18" s="17" t="n"/>
      <c r="G18" s="18" t="n"/>
      <c r="H18" s="15">
        <f>IF(OR(F18="",G18="",F18=0),"",G18/F18)</f>
        <v/>
      </c>
      <c r="I18" s="31">
        <f>IF(H18=1,20,IF(AND(H18&gt;=98%,H18&lt;100%),10,0))</f>
        <v/>
      </c>
      <c r="J18" s="32">
        <f>E18+I18</f>
        <v/>
      </c>
      <c r="K18" s="1" t="n"/>
      <c r="L18" s="48" t="n"/>
      <c r="M18" s="49" t="n"/>
      <c r="N18" s="1" t="n"/>
      <c r="O18" s="35" t="n"/>
      <c r="P18" s="35" t="n"/>
      <c r="Q18" s="33" t="n"/>
      <c r="R18" s="33" t="n"/>
      <c r="S18" s="34">
        <f>O18+P18+Q18+R18</f>
        <v/>
      </c>
      <c r="T18" s="1" t="n"/>
      <c r="U18" s="43">
        <f>SUM(J18-S18)</f>
        <v/>
      </c>
      <c r="V18" s="44" t="n"/>
      <c r="W18" s="2" t="n"/>
    </row>
    <row r="19" ht="15.75" customHeight="1" s="45">
      <c r="B19" s="30" t="n">
        <v>46244</v>
      </c>
      <c r="C19" s="12">
        <f>IF(B19="","",TEXT(WEEKDAY(B19),"dddd"))</f>
        <v/>
      </c>
      <c r="D19" s="16" t="n"/>
      <c r="E19" s="13">
        <f>IF(D19="","",VLOOKUP(D19,
{0,240;101,260;126,280;151,300;176,320;201,340;226,360;251,380;276,400;301,420;326,440;351,460;376,480},
2,TRUE)
+IF(WEEKDAY(B19,2)=7,48,0))</f>
        <v/>
      </c>
      <c r="F19" s="17" t="n"/>
      <c r="G19" s="18" t="n"/>
      <c r="H19" s="15">
        <f>IF(OR(F19="",G19="",F19=0),"",G19/F19)</f>
        <v/>
      </c>
      <c r="I19" s="31">
        <f>IF(H19=1,20,IF(AND(H19&gt;=98%,H19&lt;100%),10,0))</f>
        <v/>
      </c>
      <c r="J19" s="32">
        <f>E19+I19</f>
        <v/>
      </c>
      <c r="K19" s="1" t="n"/>
      <c r="L19" s="57">
        <f>SUM(S4:S35)</f>
        <v/>
      </c>
      <c r="M19" s="51" t="n"/>
      <c r="N19" s="1" t="n"/>
      <c r="O19" s="35" t="n"/>
      <c r="P19" s="35" t="n"/>
      <c r="Q19" s="33" t="n"/>
      <c r="R19" s="33" t="n"/>
      <c r="S19" s="34">
        <f>O19+P19+Q19+R19</f>
        <v/>
      </c>
      <c r="T19" s="1" t="n"/>
      <c r="U19" s="43">
        <f>SUM(J19-S19)</f>
        <v/>
      </c>
      <c r="V19" s="44" t="n"/>
      <c r="W19" s="2" t="n"/>
    </row>
    <row r="20" ht="15.75" customHeight="1" s="45">
      <c r="A20" s="36" t="n"/>
      <c r="B20" s="37" t="n"/>
      <c r="C20" s="19" t="n"/>
      <c r="D20" s="20" t="n"/>
      <c r="E20" s="21" t="n"/>
      <c r="F20" s="22" t="n"/>
      <c r="G20" s="23" t="n"/>
      <c r="H20" s="24" t="n"/>
      <c r="I20" s="38" t="n"/>
      <c r="J20" s="25" t="n"/>
      <c r="K20" s="1" t="n"/>
      <c r="L20" s="52" t="n"/>
      <c r="M20" s="51" t="n"/>
      <c r="N20" s="1" t="n"/>
      <c r="O20" s="39" t="n"/>
      <c r="P20" s="39" t="n"/>
      <c r="Q20" s="40" t="n"/>
      <c r="R20" s="40" t="n"/>
      <c r="S20" s="40" t="n"/>
      <c r="T20" s="1" t="n"/>
      <c r="U20" s="59" t="n"/>
      <c r="V20" s="44" t="n"/>
      <c r="W20" s="2" t="n"/>
    </row>
    <row r="21" ht="15.75" customHeight="1" s="45">
      <c r="A21" s="64" t="n">
        <v>2</v>
      </c>
      <c r="B21" s="30" t="n">
        <v>46245</v>
      </c>
      <c r="C21" s="12">
        <f>IF(B21="","",TEXT(WEEKDAY(B21),"dddd"))</f>
        <v/>
      </c>
      <c r="D21" s="16" t="n"/>
      <c r="E21" s="13">
        <f>IF(D21="","",VLOOKUP(D21,
{0,240;101,260;126,280;151,300;176,320;201,340;226,360;251,380;276,400;301,420;326,440;351,460;376,480},
2,TRUE)
+IF(WEEKDAY(B21,2)=7,48,0))</f>
        <v/>
      </c>
      <c r="F21" s="17" t="n"/>
      <c r="G21" s="18" t="n"/>
      <c r="H21" s="15">
        <f>IF(OR(F21="",G21="",F21=0),"",G21/F21)</f>
        <v/>
      </c>
      <c r="I21" s="31">
        <f>IF(H21=1,20,IF(AND(H21&gt;=98%,H21&lt;100%),10,0))</f>
        <v/>
      </c>
      <c r="J21" s="32">
        <f>E21+I21</f>
        <v/>
      </c>
      <c r="K21" s="1" t="n"/>
      <c r="L21" s="53" t="n"/>
      <c r="M21" s="54" t="n"/>
      <c r="N21" s="1" t="n"/>
      <c r="O21" s="35" t="n"/>
      <c r="P21" s="35" t="n"/>
      <c r="Q21" s="33" t="n"/>
      <c r="R21" s="33" t="n"/>
      <c r="S21" s="34">
        <f>O21+P21+Q21+R21</f>
        <v/>
      </c>
      <c r="T21" s="1" t="n"/>
      <c r="U21" s="43">
        <f>SUM(J21-S21)</f>
        <v/>
      </c>
      <c r="V21" s="44" t="n"/>
      <c r="W21" s="2" t="n"/>
    </row>
    <row r="22" ht="15.75" customHeight="1" s="45">
      <c r="B22" s="30" t="n">
        <v>46246</v>
      </c>
      <c r="C22" s="12">
        <f>IF(B22="","",TEXT(WEEKDAY(B22),"dddd"))</f>
        <v/>
      </c>
      <c r="D22" s="16" t="n"/>
      <c r="E22" s="13">
        <f>IF(D22="","",VLOOKUP(D22,
{0,240;101,260;126,280;151,300;176,320;201,340;226,360;251,380;276,400;301,420;326,440;351,460;376,480},
2,TRUE)
+IF(WEEKDAY(B22,2)=7,48,0))</f>
        <v/>
      </c>
      <c r="F22" s="17" t="n"/>
      <c r="G22" s="18" t="n"/>
      <c r="H22" s="15">
        <f>IF(OR(F22="",G22="",F22=0),"",G22/F22)</f>
        <v/>
      </c>
      <c r="I22" s="31">
        <f>IF(H22=1,20,IF(AND(H22&gt;=98%,H22&lt;100%),10,0))</f>
        <v/>
      </c>
      <c r="J22" s="32">
        <f>E22+I22</f>
        <v/>
      </c>
      <c r="K22" s="1" t="n"/>
      <c r="L22" s="46" t="inlineStr">
        <is>
          <t>Total/Lucro</t>
        </is>
      </c>
      <c r="M22" s="47" t="n"/>
      <c r="N22" s="1" t="n"/>
      <c r="O22" s="35" t="n"/>
      <c r="P22" s="35" t="n"/>
      <c r="Q22" s="33" t="n"/>
      <c r="R22" s="33" t="n"/>
      <c r="S22" s="34">
        <f>O22+P22+Q22+R22</f>
        <v/>
      </c>
      <c r="T22" s="1" t="n"/>
      <c r="U22" s="43">
        <f>SUM(J22-S22)</f>
        <v/>
      </c>
      <c r="V22" s="44" t="n"/>
      <c r="W22" s="2" t="n"/>
    </row>
    <row r="23" ht="15.75" customHeight="1" s="45">
      <c r="B23" s="30" t="n">
        <v>46247</v>
      </c>
      <c r="C23" s="12">
        <f>IF(B23="","",TEXT(WEEKDAY(B23),"dddd"))</f>
        <v/>
      </c>
      <c r="D23" s="16" t="n"/>
      <c r="E23" s="13">
        <f>IF(D23="","",VLOOKUP(D23,
{0,240;101,260;126,280;151,300;176,320;201,340;226,360;251,380;276,400;301,420;326,440;351,460;376,480},
2,TRUE)
+IF(WEEKDAY(B23,2)=7,48,0))</f>
        <v/>
      </c>
      <c r="F23" s="17" t="n"/>
      <c r="G23" s="18" t="n"/>
      <c r="H23" s="15">
        <f>IF(OR(F23="",G23="",F23=0),"",G23/F23)</f>
        <v/>
      </c>
      <c r="I23" s="31">
        <f>IF(H23=1,20,IF(AND(H23&gt;=98%,H23&lt;100%),10,0))</f>
        <v/>
      </c>
      <c r="J23" s="32">
        <f>E23+I23</f>
        <v/>
      </c>
      <c r="K23" s="1" t="n"/>
      <c r="L23" s="48" t="n"/>
      <c r="M23" s="49" t="n"/>
      <c r="N23" s="1" t="n"/>
      <c r="O23" s="35" t="n"/>
      <c r="P23" s="35" t="n"/>
      <c r="Q23" s="33" t="n"/>
      <c r="R23" s="33" t="n"/>
      <c r="S23" s="34">
        <f>O23+P23+Q23+R23</f>
        <v/>
      </c>
      <c r="T23" s="1" t="n"/>
      <c r="U23" s="43">
        <f>SUM(J23-S23)</f>
        <v/>
      </c>
      <c r="V23" s="44" t="n"/>
      <c r="W23" s="2" t="n"/>
    </row>
    <row r="24" ht="15.75" customHeight="1" s="45">
      <c r="B24" s="30" t="n">
        <v>46248</v>
      </c>
      <c r="C24" s="12">
        <f>IF(B24="","",TEXT(WEEKDAY(B24),"dddd"))</f>
        <v/>
      </c>
      <c r="D24" s="16" t="n"/>
      <c r="E24" s="13">
        <f>IF(D24="","",VLOOKUP(D24,
{0,240;101,260;126,280;151,300;176,320;201,340;226,360;251,380;276,400;301,420;326,440;351,460;376,480},
2,TRUE)
+IF(WEEKDAY(B24,2)=7,48,0))</f>
        <v/>
      </c>
      <c r="F24" s="17" t="n"/>
      <c r="G24" s="18" t="n"/>
      <c r="H24" s="15">
        <f>IF(OR(F24="",G24="",F24=0),"",G24/F24)</f>
        <v/>
      </c>
      <c r="I24" s="31">
        <f>IF(H24=1,20,IF(AND(H24&gt;=98%,H24&lt;100%),10,0))</f>
        <v/>
      </c>
      <c r="J24" s="32">
        <f>E24+I24</f>
        <v/>
      </c>
      <c r="K24" s="1" t="n"/>
      <c r="L24" s="60">
        <f>SUM(L13-L19)</f>
        <v/>
      </c>
      <c r="M24" s="51" t="n"/>
      <c r="N24" s="1" t="n"/>
      <c r="O24" s="35" t="n"/>
      <c r="P24" s="35" t="n"/>
      <c r="Q24" s="33" t="n"/>
      <c r="R24" s="33" t="n"/>
      <c r="S24" s="34">
        <f>O24+P24+Q24+R24</f>
        <v/>
      </c>
      <c r="T24" s="1" t="n"/>
      <c r="U24" s="43">
        <f>SUM(J24-S24)</f>
        <v/>
      </c>
      <c r="V24" s="44" t="n"/>
      <c r="W24" s="2" t="n"/>
    </row>
    <row r="25" ht="15.75" customHeight="1" s="45">
      <c r="B25" s="30" t="n">
        <v>46249</v>
      </c>
      <c r="C25" s="12">
        <f>IF(B25="","",TEXT(WEEKDAY(B25),"dddd"))</f>
        <v/>
      </c>
      <c r="D25" s="16" t="n"/>
      <c r="E25" s="13">
        <f>IF(D25="","",VLOOKUP(D25,
{0,240;101,260;126,280;151,300;176,320;201,340;226,360;251,380;276,400;301,420;326,440;351,460;376,480},
2,TRUE)
+IF(WEEKDAY(B25,2)=7,48,0))</f>
        <v/>
      </c>
      <c r="F25" s="17" t="n"/>
      <c r="G25" s="18" t="n"/>
      <c r="H25" s="15">
        <f>IF(OR(F25="",G25="",F25=0),"",G25/F25)</f>
        <v/>
      </c>
      <c r="I25" s="31">
        <f>IF(H25=1,20,IF(AND(H25&gt;=98%,H25&lt;100%),10,0))</f>
        <v/>
      </c>
      <c r="J25" s="32">
        <f>E25+I25</f>
        <v/>
      </c>
      <c r="K25" s="1" t="n"/>
      <c r="L25" s="53" t="n"/>
      <c r="M25" s="54" t="n"/>
      <c r="N25" s="1" t="n"/>
      <c r="O25" s="35" t="n"/>
      <c r="P25" s="35" t="n"/>
      <c r="Q25" s="33" t="n"/>
      <c r="R25" s="33" t="n"/>
      <c r="S25" s="34">
        <f>O25+P25+Q25+R25</f>
        <v/>
      </c>
      <c r="T25" s="1" t="n"/>
      <c r="U25" s="43">
        <f>SUM(J25-S25)</f>
        <v/>
      </c>
      <c r="V25" s="44" t="n"/>
      <c r="W25" s="2" t="n"/>
    </row>
    <row r="26" ht="15.75" customHeight="1" s="45">
      <c r="B26" s="30" t="n">
        <v>46250</v>
      </c>
      <c r="C26" s="12">
        <f>IF(B26="","",TEXT(WEEKDAY(B26),"dddd"))</f>
        <v/>
      </c>
      <c r="D26" s="16" t="n"/>
      <c r="E26" s="13">
        <f>IF(D26="","",VLOOKUP(D26,
{0,240;101,260;126,280;151,300;176,320;201,340;226,360;251,380;276,400;301,420;326,440;351,460;376,480},
2,TRUE)
+IF(WEEKDAY(B26,2)=7,48,0))</f>
        <v/>
      </c>
      <c r="F26" s="17" t="n"/>
      <c r="G26" s="18" t="n"/>
      <c r="H26" s="15">
        <f>IF(OR(F26="",G26="",F26=0),"",G26/F26)</f>
        <v/>
      </c>
      <c r="I26" s="31">
        <f>IF(H26=1,20,IF(AND(H26&gt;=98%,H26&lt;100%),10,0))</f>
        <v/>
      </c>
      <c r="J26" s="32">
        <f>E26+I26</f>
        <v/>
      </c>
      <c r="K26" s="1" t="n"/>
      <c r="L26" s="1" t="n"/>
      <c r="M26" s="1" t="n"/>
      <c r="N26" s="1" t="n"/>
      <c r="O26" s="35" t="n"/>
      <c r="P26" s="35" t="n"/>
      <c r="Q26" s="33" t="n"/>
      <c r="R26" s="33" t="n"/>
      <c r="S26" s="34">
        <f>O26+P26+Q26+R26</f>
        <v/>
      </c>
      <c r="T26" s="1" t="n"/>
      <c r="U26" s="43">
        <f>SUM(J26-S26)</f>
        <v/>
      </c>
      <c r="V26" s="44" t="n"/>
      <c r="W26" s="2" t="n"/>
    </row>
    <row r="27" ht="15.75" customHeight="1" s="45">
      <c r="B27" s="30" t="n">
        <v>46251</v>
      </c>
      <c r="C27" s="12">
        <f>IF(B27="","",TEXT(WEEKDAY(B27),"dddd"))</f>
        <v/>
      </c>
      <c r="D27" s="16" t="n"/>
      <c r="E27" s="13">
        <f>IF(D27="","",VLOOKUP(D27,
{0,240;101,260;126,280;151,300;176,320;201,340;226,360;251,380;276,400;301,420;326,440;351,460;376,480},
2,TRUE)
+IF(WEEKDAY(B27,2)=7,48,0))</f>
        <v/>
      </c>
      <c r="F27" s="17" t="n"/>
      <c r="G27" s="18" t="n"/>
      <c r="H27" s="15">
        <f>IF(OR(F27="",G27="",F27=0),"",G27/F27)</f>
        <v/>
      </c>
      <c r="I27" s="31">
        <f>IF(H27=1,20,IF(AND(H27&gt;=98%,H27&lt;100%),10,0))</f>
        <v/>
      </c>
      <c r="J27" s="32">
        <f>E27+I27</f>
        <v/>
      </c>
      <c r="K27" s="1" t="n"/>
      <c r="L27" s="66" t="inlineStr">
        <is>
          <t>1ª bônus 600</t>
        </is>
      </c>
      <c r="M27" s="56" t="n"/>
      <c r="N27" s="1" t="n"/>
      <c r="O27" s="35" t="n"/>
      <c r="P27" s="35" t="n"/>
      <c r="Q27" s="33" t="n"/>
      <c r="R27" s="33" t="n"/>
      <c r="S27" s="34">
        <f>O27+P27+Q27+R27</f>
        <v/>
      </c>
      <c r="T27" s="1" t="n"/>
      <c r="U27" s="43">
        <f>SUM(J27-S27)</f>
        <v/>
      </c>
      <c r="V27" s="44" t="n"/>
      <c r="W27" s="2" t="n"/>
    </row>
    <row r="28" ht="15.75" customHeight="1" s="45">
      <c r="B28" s="30" t="n">
        <v>46252</v>
      </c>
      <c r="C28" s="12">
        <f>IF(B28="","",TEXT(WEEKDAY(B28),"dddd"))</f>
        <v/>
      </c>
      <c r="D28" s="16" t="n"/>
      <c r="E28" s="13">
        <f>IF(D28="","",VLOOKUP(D28,
{0,240;101,260;126,280;151,300;176,320;201,340;226,360;251,380;276,400;301,420;326,440;351,460;376,480},
2,TRUE)
+IF(WEEKDAY(B28,2)=7,48,0))</f>
        <v/>
      </c>
      <c r="F28" s="17" t="n"/>
      <c r="G28" s="18" t="n"/>
      <c r="H28" s="15">
        <f>IF(OR(F28="",G28="",F28=0),"",G28/F28)</f>
        <v/>
      </c>
      <c r="I28" s="31">
        <f>IF(H28=1,20,IF(AND(H28&gt;=98%,H28&lt;100%),10,0))</f>
        <v/>
      </c>
      <c r="J28" s="32">
        <f>E28+I28</f>
        <v/>
      </c>
      <c r="K28" s="1" t="n"/>
      <c r="L28" s="53" t="n"/>
      <c r="M28" s="54" t="n"/>
      <c r="N28" s="1" t="n"/>
      <c r="O28" s="35" t="n"/>
      <c r="P28" s="35" t="n"/>
      <c r="Q28" s="33" t="n"/>
      <c r="R28" s="33" t="n"/>
      <c r="S28" s="34">
        <f>O28+P28+Q28+R28</f>
        <v/>
      </c>
      <c r="T28" s="1" t="n"/>
      <c r="U28" s="43">
        <f>SUM(J28-S28)</f>
        <v/>
      </c>
      <c r="V28" s="44" t="n"/>
      <c r="W28" s="2" t="n"/>
    </row>
    <row r="29" ht="15.75" customHeight="1" s="45">
      <c r="B29" s="30" t="n">
        <v>46253</v>
      </c>
      <c r="C29" s="12">
        <f>IF(B29="","",TEXT(WEEKDAY(B29),"dddd"))</f>
        <v/>
      </c>
      <c r="D29" s="16" t="n"/>
      <c r="E29" s="13">
        <f>IF(D29="","",VLOOKUP(D29,
{0,240;101,260;126,280;151,300;176,320;201,340;226,360;251,380;276,400;301,420;326,440;351,460;376,480},
2,TRUE)
+IF(WEEKDAY(B29,2)=7,48,0))</f>
        <v/>
      </c>
      <c r="F29" s="17" t="n"/>
      <c r="G29" s="18" t="n"/>
      <c r="H29" s="15">
        <f>IF(OR(F29="",G29="",F29=0),"",G29/F29)</f>
        <v/>
      </c>
      <c r="I29" s="31">
        <f>IF(H29=1,20,IF(AND(H29&gt;=98%,H29&lt;100%),10,0))</f>
        <v/>
      </c>
      <c r="J29" s="32">
        <f>E29+I29</f>
        <v/>
      </c>
      <c r="K29" s="1" t="n"/>
      <c r="L29" s="55">
        <f>IF(OR(F37="",G37="",F37=0),"",G37/F37)</f>
        <v/>
      </c>
      <c r="M29" s="56" t="n"/>
      <c r="N29" s="1" t="n"/>
      <c r="O29" s="35" t="n"/>
      <c r="P29" s="35" t="n"/>
      <c r="Q29" s="33" t="n"/>
      <c r="R29" s="33" t="n"/>
      <c r="S29" s="34">
        <f>O29+P29+Q29+R29</f>
        <v/>
      </c>
      <c r="T29" s="1" t="n"/>
      <c r="U29" s="43">
        <f>SUM(J29-S29)</f>
        <v/>
      </c>
      <c r="V29" s="44" t="n"/>
      <c r="W29" s="2" t="n"/>
    </row>
    <row r="30" ht="15.75" customHeight="1" s="45">
      <c r="B30" s="30" t="n">
        <v>46254</v>
      </c>
      <c r="C30" s="12">
        <f>IF(B30="","",TEXT(WEEKDAY(B30),"dddd"))</f>
        <v/>
      </c>
      <c r="D30" s="16" t="n"/>
      <c r="E30" s="13">
        <f>IF(D30="","",VLOOKUP(D30,
{0,240;101,260;126,280;151,300;176,320;201,340;226,360;251,380;276,400;301,420;326,440;351,460;376,480},
2,TRUE)
+IF(WEEKDAY(B30,2)=7,48,0))</f>
        <v/>
      </c>
      <c r="F30" s="17" t="n"/>
      <c r="G30" s="18" t="n"/>
      <c r="H30" s="15">
        <f>IF(OR(F30="",G30="",F30=0),"",G30/F30)</f>
        <v/>
      </c>
      <c r="I30" s="31">
        <f>IF(H30=1,20,IF(AND(H30&gt;=98%,H30&lt;100%),10,0))</f>
        <v/>
      </c>
      <c r="J30" s="32">
        <f>E30+I30</f>
        <v/>
      </c>
      <c r="K30" s="1" t="n"/>
      <c r="L30" s="53" t="n"/>
      <c r="M30" s="54" t="n"/>
      <c r="N30" s="1" t="n"/>
      <c r="O30" s="35" t="n"/>
      <c r="P30" s="35" t="n"/>
      <c r="Q30" s="33" t="n"/>
      <c r="R30" s="33" t="n"/>
      <c r="S30" s="34">
        <f>O30+P30+Q30+R30</f>
        <v/>
      </c>
      <c r="T30" s="1" t="n"/>
      <c r="U30" s="43">
        <f>SUM(J30-S30)</f>
        <v/>
      </c>
      <c r="V30" s="44" t="n"/>
      <c r="W30" s="2" t="n"/>
    </row>
    <row r="31" ht="15.75" customHeight="1" s="45">
      <c r="B31" s="30" t="n">
        <v>46255</v>
      </c>
      <c r="C31" s="12">
        <f>IF(B31="","",TEXT(WEEKDAY(B31),"dddd"))</f>
        <v/>
      </c>
      <c r="D31" s="16" t="n"/>
      <c r="E31" s="13">
        <f>IF(D31="","",VLOOKUP(D31,
{0,240;101,260;126,280;151,300;176,320;201,340;226,360;251,380;276,400;301,420;326,440;351,460;376,480},
2,TRUE)
+IF(WEEKDAY(B31,2)=7,48,0))</f>
        <v/>
      </c>
      <c r="F31" s="17" t="n"/>
      <c r="G31" s="18" t="n"/>
      <c r="H31" s="15">
        <f>IF(OR(F31="",G31="",F31=0),"",G31/F31)</f>
        <v/>
      </c>
      <c r="I31" s="31">
        <f>IF(H31=1,20,IF(AND(H31&gt;=98%,H31&lt;100%),10,0))</f>
        <v/>
      </c>
      <c r="J31" s="32">
        <f>E31+I31</f>
        <v/>
      </c>
      <c r="K31" s="1" t="n"/>
      <c r="L31" s="58">
        <f>COUNTIF(D4:D19,"&gt;0")</f>
        <v/>
      </c>
      <c r="N31" s="1" t="n"/>
      <c r="O31" s="35" t="n"/>
      <c r="P31" s="35" t="n"/>
      <c r="Q31" s="33" t="n"/>
      <c r="R31" s="33" t="n"/>
      <c r="S31" s="34">
        <f>O31+P31+Q31+R31</f>
        <v/>
      </c>
      <c r="T31" s="1" t="n"/>
      <c r="U31" s="43">
        <f>SUM(J31-S31)</f>
        <v/>
      </c>
      <c r="V31" s="44" t="n"/>
      <c r="W31" s="2" t="n"/>
    </row>
    <row r="32" ht="15.75" customHeight="1" s="45">
      <c r="B32" s="30" t="n">
        <v>46256</v>
      </c>
      <c r="C32" s="12">
        <f>IF(B32="","",TEXT(WEEKDAY(B32),"dddd"))</f>
        <v/>
      </c>
      <c r="D32" s="16" t="n"/>
      <c r="E32" s="13">
        <f>IF(D32="","",VLOOKUP(D32,
{0,240;101,260;126,280;151,300;176,320;201,340;226,360;251,380;276,400;301,420;326,440;351,460;376,480},
2,TRUE)
+IF(WEEKDAY(B32,2)=7,48,0))</f>
        <v/>
      </c>
      <c r="F32" s="17" t="n"/>
      <c r="G32" s="18" t="n"/>
      <c r="H32" s="15">
        <f>IF(OR(F32="",G32="",F32=0),"",G32/F32)</f>
        <v/>
      </c>
      <c r="I32" s="31">
        <f>IF(H32=1,20,IF(AND(H32&gt;=98%,H32&lt;100%),10,0))</f>
        <v/>
      </c>
      <c r="J32" s="32">
        <f>E32+I32</f>
        <v/>
      </c>
      <c r="K32" s="1" t="n"/>
      <c r="L32" s="66" t="inlineStr">
        <is>
          <t>2ª bônus 600</t>
        </is>
      </c>
      <c r="M32" s="56" t="n"/>
      <c r="N32" s="1" t="n"/>
      <c r="O32" s="35" t="n"/>
      <c r="P32" s="35" t="n"/>
      <c r="Q32" s="33" t="n"/>
      <c r="R32" s="33" t="n"/>
      <c r="S32" s="34">
        <f>O32+P32+Q32+R32</f>
        <v/>
      </c>
      <c r="T32" s="1" t="n"/>
      <c r="U32" s="43">
        <f>SUM(J32-S32)</f>
        <v/>
      </c>
      <c r="V32" s="44" t="n"/>
      <c r="W32" s="2" t="n"/>
    </row>
    <row r="33" ht="15.75" customHeight="1" s="45">
      <c r="B33" s="30" t="n">
        <v>46257</v>
      </c>
      <c r="C33" s="12">
        <f>IF(B33="","",TEXT(WEEKDAY(B33),"dddd"))</f>
        <v/>
      </c>
      <c r="D33" s="16" t="n"/>
      <c r="E33" s="13">
        <f>IF(D33="","",VLOOKUP(D33,
{0,240;101,260;126,280;151,300;176,320;201,340;226,360;251,380;276,400;301,420;326,440;351,460;376,480},
2,TRUE)
+IF(WEEKDAY(B33,2)=7,48,0))</f>
        <v/>
      </c>
      <c r="F33" s="17" t="n"/>
      <c r="G33" s="18" t="n"/>
      <c r="H33" s="15">
        <f>IF(OR(F33="",G33="",F33=0),"",G33/F33)</f>
        <v/>
      </c>
      <c r="I33" s="31">
        <f>IF(H33=1,20,IF(AND(H33&gt;=98%,H33&lt;100%),10,0))</f>
        <v/>
      </c>
      <c r="J33" s="32">
        <f>E33+I33</f>
        <v/>
      </c>
      <c r="K33" s="1" t="n"/>
      <c r="L33" s="53" t="n"/>
      <c r="M33" s="54" t="n"/>
      <c r="N33" s="1" t="n"/>
      <c r="O33" s="35" t="n"/>
      <c r="P33" s="35" t="n"/>
      <c r="Q33" s="33" t="n"/>
      <c r="R33" s="33" t="n"/>
      <c r="S33" s="34">
        <f>O33+P33+Q33+R33</f>
        <v/>
      </c>
      <c r="T33" s="1" t="n"/>
      <c r="U33" s="43">
        <f>SUM(J33-S33)</f>
        <v/>
      </c>
      <c r="V33" s="44" t="n"/>
      <c r="W33" s="2" t="n"/>
    </row>
    <row r="34" ht="15.75" customHeight="1" s="45">
      <c r="B34" s="30" t="n">
        <v>46258</v>
      </c>
      <c r="C34" s="12">
        <f>IF(B34="","",TEXT(WEEKDAY(B34),"dddd"))</f>
        <v/>
      </c>
      <c r="D34" s="16" t="n"/>
      <c r="E34" s="13">
        <f>IF(D34="","",VLOOKUP(D34,
{0,240;101,260;126,280;151,300;176,320;201,340;226,360;251,380;276,400;301,420;326,440;351,460;376,480},
2,TRUE)
+IF(WEEKDAY(B34,2)=7,48,0))</f>
        <v/>
      </c>
      <c r="F34" s="17" t="n"/>
      <c r="G34" s="18" t="n"/>
      <c r="H34" s="15">
        <f>IF(OR(F34="",G34="",F34=0),"",G34/F34)</f>
        <v/>
      </c>
      <c r="I34" s="31">
        <f>IF(H34=1,20,IF(AND(H34&gt;=98%,H34&lt;100%),10,0))</f>
        <v/>
      </c>
      <c r="J34" s="32">
        <f>E34+I34</f>
        <v/>
      </c>
      <c r="K34" s="1" t="n"/>
      <c r="L34" s="55">
        <f>IF(OR(F38="",G38="",F38=0),"",G38/F38)</f>
        <v/>
      </c>
      <c r="M34" s="56" t="n"/>
      <c r="N34" s="1" t="n"/>
      <c r="O34" s="35" t="n"/>
      <c r="P34" s="35" t="n"/>
      <c r="Q34" s="33" t="n"/>
      <c r="R34" s="33" t="n"/>
      <c r="S34" s="34">
        <f>O34+P34+Q34+R34</f>
        <v/>
      </c>
      <c r="T34" s="1" t="n"/>
      <c r="U34" s="43">
        <f>SUM(J34-S34)</f>
        <v/>
      </c>
      <c r="V34" s="44" t="n"/>
      <c r="W34" s="2" t="n"/>
    </row>
    <row r="35" ht="15.75" customHeight="1" s="45">
      <c r="B35" s="30" t="n">
        <v>46259</v>
      </c>
      <c r="C35" s="12">
        <f>IF(B35="","",TEXT(WEEKDAY(B35),"dddd"))</f>
        <v/>
      </c>
      <c r="D35" s="16" t="n"/>
      <c r="E35" s="13">
        <f>IF(D35="","",VLOOKUP(D35,
{0,240;101,260;126,280;151,300;176,320;201,340;226,360;251,380;276,400;301,420;326,440;351,460;376,480},
2,TRUE)
+IF(WEEKDAY(B35,2)=7,48,0))</f>
        <v/>
      </c>
      <c r="F35" s="26" t="n"/>
      <c r="G35" s="27" t="n"/>
      <c r="H35" s="15">
        <f>IF(OR(F35="",G35="",F35=0),"",G35/F35)</f>
        <v/>
      </c>
      <c r="I35" s="31">
        <f>IF(H35=1,20,IF(AND(H35&gt;=98%,H35&lt;100%),10,0))</f>
        <v/>
      </c>
      <c r="J35" s="32">
        <f>E35+I35</f>
        <v/>
      </c>
      <c r="K35" s="1" t="n"/>
      <c r="L35" s="53" t="n"/>
      <c r="M35" s="54" t="n"/>
      <c r="N35" s="1" t="n"/>
      <c r="O35" s="35" t="n"/>
      <c r="P35" s="35" t="n"/>
      <c r="Q35" s="33" t="n"/>
      <c r="R35" s="33" t="n"/>
      <c r="S35" s="34">
        <f>O35+P35+Q35+R35</f>
        <v/>
      </c>
      <c r="T35" s="1" t="n"/>
      <c r="U35" s="43">
        <f>SUM(J35-S35)</f>
        <v/>
      </c>
      <c r="V35" s="44" t="n"/>
      <c r="W35" s="2" t="n"/>
    </row>
    <row r="36" ht="15.75" customHeight="1" s="4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69">
        <f>COUNTIF(D21:D35,"&gt;0")</f>
        <v/>
      </c>
      <c r="N36" s="1" t="n"/>
      <c r="O36" s="1" t="n"/>
      <c r="P36" s="1" t="n"/>
      <c r="Q36" s="1" t="n"/>
      <c r="R36" s="1" t="n"/>
      <c r="S36" s="1" t="n"/>
      <c r="T36" s="1" t="n"/>
      <c r="U36" s="65" t="n"/>
      <c r="V36" s="44" t="n"/>
      <c r="W36" s="2" t="n"/>
    </row>
    <row r="37" ht="15.75" customHeight="1" s="45">
      <c r="F37" s="28">
        <f>SUM(F4:F19)</f>
        <v/>
      </c>
      <c r="G37" s="28">
        <f>SUM(G4:G19)</f>
        <v/>
      </c>
      <c r="J37" s="41">
        <f>SUM(J4:J19)</f>
        <v/>
      </c>
      <c r="L37" s="29" t="n"/>
    </row>
    <row r="38" ht="15.75" customHeight="1" s="45">
      <c r="F38" s="28">
        <f>SUM(F21:F35)</f>
        <v/>
      </c>
      <c r="G38" s="28">
        <f>SUM(G21:G35)</f>
        <v/>
      </c>
      <c r="J38" s="41">
        <f>SUM(J21:J35)</f>
        <v/>
      </c>
    </row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  <row r="1001" ht="15.75" customHeight="1" s="45"/>
  </sheetData>
  <mergeCells count="85">
    <mergeCell ref="U31:V31"/>
    <mergeCell ref="U40:V40"/>
    <mergeCell ref="U15:V15"/>
    <mergeCell ref="U65:V65"/>
    <mergeCell ref="L22:M23"/>
    <mergeCell ref="L13:M15"/>
    <mergeCell ref="L34:M35"/>
    <mergeCell ref="L6:M7"/>
    <mergeCell ref="L19:M21"/>
    <mergeCell ref="U16:V16"/>
    <mergeCell ref="U57:V57"/>
    <mergeCell ref="U33:V33"/>
    <mergeCell ref="U28:V28"/>
    <mergeCell ref="U42:V42"/>
    <mergeCell ref="L31:M31"/>
    <mergeCell ref="U67:V67"/>
    <mergeCell ref="U5:V5"/>
    <mergeCell ref="U20:V20"/>
    <mergeCell ref="L24:M25"/>
    <mergeCell ref="O1:S2"/>
    <mergeCell ref="U14:V14"/>
    <mergeCell ref="L8:M9"/>
    <mergeCell ref="U60:V60"/>
    <mergeCell ref="U4:V4"/>
    <mergeCell ref="U22:V22"/>
    <mergeCell ref="U59:V59"/>
    <mergeCell ref="U6:V6"/>
    <mergeCell ref="U46:V46"/>
    <mergeCell ref="U61:V61"/>
    <mergeCell ref="A4:A19"/>
    <mergeCell ref="U48:V48"/>
    <mergeCell ref="U32:V32"/>
    <mergeCell ref="L11:M12"/>
    <mergeCell ref="U41:V41"/>
    <mergeCell ref="U13:V13"/>
    <mergeCell ref="U7:V7"/>
    <mergeCell ref="U47:V47"/>
    <mergeCell ref="U56:V56"/>
    <mergeCell ref="U43:V43"/>
    <mergeCell ref="U24:V24"/>
    <mergeCell ref="U18:V18"/>
    <mergeCell ref="U58:V58"/>
    <mergeCell ref="U8:V8"/>
    <mergeCell ref="U63:V63"/>
    <mergeCell ref="U10:V10"/>
    <mergeCell ref="U50:V50"/>
    <mergeCell ref="U19:V19"/>
    <mergeCell ref="U44:V44"/>
    <mergeCell ref="U34:V34"/>
    <mergeCell ref="U9:V9"/>
    <mergeCell ref="U49:V49"/>
    <mergeCell ref="L1:M2"/>
    <mergeCell ref="U36:V36"/>
    <mergeCell ref="U30:V30"/>
    <mergeCell ref="U45:V45"/>
    <mergeCell ref="L27:M28"/>
    <mergeCell ref="U37:V37"/>
    <mergeCell ref="A21:A35"/>
    <mergeCell ref="L17:M18"/>
    <mergeCell ref="U12:V12"/>
    <mergeCell ref="U21:V21"/>
    <mergeCell ref="U62:V62"/>
    <mergeCell ref="U55:V55"/>
    <mergeCell ref="L3:M4"/>
    <mergeCell ref="U64:V64"/>
    <mergeCell ref="U51:V51"/>
    <mergeCell ref="U1:V3"/>
    <mergeCell ref="U26:V26"/>
    <mergeCell ref="U35:V35"/>
    <mergeCell ref="L29:M30"/>
    <mergeCell ref="U27:V27"/>
    <mergeCell ref="U17:V17"/>
    <mergeCell ref="U11:V11"/>
    <mergeCell ref="U25:V25"/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</mergeCells>
  <conditionalFormatting sqref="C4:C35">
    <cfRule type="beginsWith" priority="1" operator="beginsWith" dxfId="0" text="d">
      <formula>LEFT((C4),LEN("d"))=("d")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W67"/>
  <sheetViews>
    <sheetView workbookViewId="0">
      <selection activeCell="A1" sqref="A1"/>
    </sheetView>
  </sheetViews>
  <sheetFormatPr baseColWidth="8" defaultColWidth="12.5703125" defaultRowHeight="15" customHeight="1"/>
  <cols>
    <col width="8.7109375" customWidth="1" style="45" min="1" max="1"/>
    <col width="12.5703125" customWidth="1" style="45" min="2" max="4"/>
    <col width="12.7109375" customWidth="1" style="45" min="5" max="5"/>
    <col width="12.5703125" customWidth="1" style="45" min="6" max="6"/>
    <col width="4.42578125" customWidth="1" style="45" min="11" max="11"/>
    <col width="4.140625" customWidth="1" style="45" min="14" max="14"/>
    <col width="4.28515625" customWidth="1" style="45" min="20" max="20"/>
    <col width="4.140625" customWidth="1" style="45" min="23" max="23"/>
  </cols>
  <sheetData>
    <row r="1" ht="15.75" customHeight="1" s="45">
      <c r="A1" s="1" t="n"/>
      <c r="B1" s="1" t="n"/>
      <c r="C1" s="68" t="inlineStr">
        <is>
          <t>planilha de ganhos Ac2</t>
        </is>
      </c>
      <c r="D1" s="62" t="n"/>
      <c r="E1" s="62" t="n"/>
      <c r="F1" s="62" t="n"/>
      <c r="G1" s="62" t="n"/>
      <c r="H1" s="47" t="n"/>
      <c r="I1" s="1" t="n"/>
      <c r="J1" s="1" t="n"/>
      <c r="K1" s="1" t="n"/>
      <c r="L1" s="46" t="inlineStr">
        <is>
          <t>1ª Quizena</t>
        </is>
      </c>
      <c r="M1" s="47" t="n"/>
      <c r="N1" s="1" t="n"/>
      <c r="O1" s="61" t="inlineStr">
        <is>
          <t>Gastos</t>
        </is>
      </c>
      <c r="P1" s="62" t="n"/>
      <c r="Q1" s="62" t="n"/>
      <c r="R1" s="62" t="n"/>
      <c r="S1" s="47" t="n"/>
      <c r="T1" s="1" t="n"/>
      <c r="U1" s="67" t="inlineStr">
        <is>
          <t>lucro diario</t>
        </is>
      </c>
      <c r="V1" s="56" t="n"/>
      <c r="W1" s="2" t="n"/>
    </row>
    <row r="2" ht="15.75" customHeight="1" s="45">
      <c r="A2" s="1" t="n"/>
      <c r="B2" s="1" t="n"/>
      <c r="C2" s="48" t="n"/>
      <c r="D2" s="63" t="n"/>
      <c r="E2" s="63" t="n"/>
      <c r="F2" s="63" t="n"/>
      <c r="G2" s="63" t="n"/>
      <c r="H2" s="49" t="n"/>
      <c r="I2" s="1" t="n"/>
      <c r="J2" s="1" t="n"/>
      <c r="K2" s="1" t="n"/>
      <c r="L2" s="48" t="n"/>
      <c r="M2" s="49" t="n"/>
      <c r="N2" s="1" t="n"/>
      <c r="O2" s="48" t="n"/>
      <c r="P2" s="63" t="n"/>
      <c r="Q2" s="63" t="n"/>
      <c r="R2" s="63" t="n"/>
      <c r="S2" s="49" t="n"/>
      <c r="T2" s="1" t="n"/>
      <c r="U2" s="52" t="n"/>
      <c r="V2" s="51" t="n"/>
      <c r="W2" s="2" t="n"/>
    </row>
    <row r="3" ht="15.75" customHeight="1" s="45">
      <c r="A3" s="3" t="n"/>
      <c r="B3" s="4" t="inlineStr">
        <is>
          <t>Data</t>
        </is>
      </c>
      <c r="C3" s="5" t="inlineStr">
        <is>
          <t>Dia semana</t>
        </is>
      </c>
      <c r="D3" s="6" t="inlineStr">
        <is>
          <t>Km executado</t>
        </is>
      </c>
      <c r="E3" s="5" t="inlineStr">
        <is>
          <t>R$ Diaria</t>
        </is>
      </c>
      <c r="F3" s="5" t="inlineStr">
        <is>
          <t>Qtd. Pacotes</t>
        </is>
      </c>
      <c r="G3" s="5" t="inlineStr">
        <is>
          <t xml:space="preserve">Qtd.entregas </t>
        </is>
      </c>
      <c r="H3" s="5" t="inlineStr">
        <is>
          <t>% de Entrega</t>
        </is>
      </c>
      <c r="I3" s="7" t="inlineStr">
        <is>
          <t>bônus 1</t>
        </is>
      </c>
      <c r="J3" s="8" t="inlineStr">
        <is>
          <t>Total</t>
        </is>
      </c>
      <c r="K3" s="1" t="n"/>
      <c r="L3" s="50">
        <f>J37+IF(AND(L31&gt;=13,L29&gt;=98%,L29&lt;=100%),600,0)</f>
        <v/>
      </c>
      <c r="M3" s="51" t="n"/>
      <c r="N3" s="1" t="n"/>
      <c r="O3" s="9" t="inlineStr">
        <is>
          <t>Gasolina</t>
        </is>
      </c>
      <c r="P3" s="9" t="inlineStr">
        <is>
          <t xml:space="preserve">Almoço </t>
        </is>
      </c>
      <c r="Q3" s="10" t="inlineStr">
        <is>
          <t xml:space="preserve">Besteira </t>
        </is>
      </c>
      <c r="R3" s="10" t="inlineStr">
        <is>
          <t>Carro</t>
        </is>
      </c>
      <c r="S3" s="11" t="inlineStr">
        <is>
          <t>Total</t>
        </is>
      </c>
      <c r="T3" s="1" t="n"/>
      <c r="U3" s="53" t="n"/>
      <c r="V3" s="54" t="n"/>
      <c r="W3" s="2" t="n"/>
    </row>
    <row r="4" ht="15.75" customHeight="1" s="45">
      <c r="A4" s="64" t="n">
        <v>1</v>
      </c>
      <c r="B4" s="30" t="n">
        <v>46260</v>
      </c>
      <c r="C4" s="12">
        <f>IF(B4="","",TEXT(WEEKDAY(B4),"dddd"))</f>
        <v/>
      </c>
      <c r="D4" s="16" t="n"/>
      <c r="E4" s="13">
        <f>IF(D4="","",VLOOKUP(D4,
{0,240;101,260;126,280;151,300;176,320;201,340;226,360;251,380;276,400;301,420;326,440;351,460;376,480},
2,TRUE)
+IF(WEEKDAY(B4,2)=7,48,0))</f>
        <v/>
      </c>
      <c r="F4" s="14" t="n"/>
      <c r="G4" s="18" t="n"/>
      <c r="H4" s="15">
        <f>IF(OR(F4="",G4="",F4=0),"",G4/F4)</f>
        <v/>
      </c>
      <c r="I4" s="31">
        <f>IF(H4=1,20,IF(AND(H4&gt;=98%,H4&lt;100%),10,0))</f>
        <v/>
      </c>
      <c r="J4" s="32">
        <f>E4+I4</f>
        <v/>
      </c>
      <c r="K4" s="1" t="n"/>
      <c r="L4" s="53" t="n"/>
      <c r="M4" s="54" t="n"/>
      <c r="N4" s="1" t="n"/>
      <c r="O4" s="33" t="n"/>
      <c r="P4" s="33" t="n"/>
      <c r="Q4" s="33" t="n"/>
      <c r="R4" s="33" t="n"/>
      <c r="S4" s="34">
        <f>O4+P4+Q4+R4</f>
        <v/>
      </c>
      <c r="T4" s="1" t="n"/>
      <c r="U4" s="43">
        <f>SUM(J4-S4)</f>
        <v/>
      </c>
      <c r="V4" s="44" t="n"/>
      <c r="W4" s="2" t="n"/>
    </row>
    <row r="5" ht="15.75" customHeight="1" s="45">
      <c r="B5" s="30" t="n">
        <v>46261</v>
      </c>
      <c r="C5" s="12">
        <f>IF(B5="","",TEXT(WEEKDAY(B5),"dddd"))</f>
        <v/>
      </c>
      <c r="D5" s="16" t="n"/>
      <c r="E5" s="13">
        <f>IF(D5="","",VLOOKUP(D5,
{0,240;101,260;126,280;151,300;176,320;201,340;226,360;251,380;276,400;301,420;326,440;351,460;376,480},
2,TRUE)
+IF(WEEKDAY(B5,2)=7,48,0))</f>
        <v/>
      </c>
      <c r="F5" s="17" t="n"/>
      <c r="G5" s="18" t="n"/>
      <c r="H5" s="15">
        <f>IF(OR(F5="",G5="",F5=0),"",G5/F5)</f>
        <v/>
      </c>
      <c r="I5" s="31">
        <f>IF(H5=1,20,IF(AND(H5&gt;=98%,H5&lt;100%),10,0))</f>
        <v/>
      </c>
      <c r="J5" s="32">
        <f>E5+I5</f>
        <v/>
      </c>
      <c r="K5" s="1" t="n"/>
      <c r="L5" s="1" t="n"/>
      <c r="M5" s="1" t="n"/>
      <c r="N5" s="1" t="n"/>
      <c r="O5" s="35" t="n"/>
      <c r="P5" s="35" t="n"/>
      <c r="Q5" s="33" t="n"/>
      <c r="R5" s="33" t="n"/>
      <c r="S5" s="34">
        <f>O5+P5+Q5+R5</f>
        <v/>
      </c>
      <c r="T5" s="1" t="n"/>
      <c r="U5" s="43">
        <f>SUM(J5-S5)</f>
        <v/>
      </c>
      <c r="V5" s="44" t="n"/>
      <c r="W5" s="2" t="n"/>
    </row>
    <row r="6" ht="15.75" customHeight="1" s="45">
      <c r="B6" s="30" t="n">
        <v>46262</v>
      </c>
      <c r="C6" s="12">
        <f>IF(B6="","",TEXT(WEEKDAY(B6),"dddd"))</f>
        <v/>
      </c>
      <c r="D6" s="16" t="n"/>
      <c r="E6" s="13">
        <f>IF(D6="","",VLOOKUP(D6,
{0,240;101,260;126,280;151,300;176,320;201,340;226,360;251,380;276,400;301,420;326,440;351,460;376,480},
2,TRUE)
+IF(WEEKDAY(B6,2)=7,48,0))</f>
        <v/>
      </c>
      <c r="F6" s="17" t="n"/>
      <c r="G6" s="18" t="n"/>
      <c r="H6" s="15">
        <f>IF(OR(F6="",G6="",F6=0),"",G6/F6)</f>
        <v/>
      </c>
      <c r="I6" s="31">
        <f>IF(H6=1,20,IF(AND(H6&gt;=98%,H6&lt;100%),10,0))</f>
        <v/>
      </c>
      <c r="J6" s="32">
        <f>E6+I6</f>
        <v/>
      </c>
      <c r="K6" s="1" t="n"/>
      <c r="L6" s="46" t="inlineStr">
        <is>
          <t>2ª Quizena</t>
        </is>
      </c>
      <c r="M6" s="47" t="n"/>
      <c r="N6" s="1" t="n"/>
      <c r="O6" s="35" t="n"/>
      <c r="P6" s="35" t="n"/>
      <c r="Q6" s="33" t="n"/>
      <c r="R6" s="33" t="n"/>
      <c r="S6" s="34">
        <f>O6+P6+Q6+R6</f>
        <v/>
      </c>
      <c r="T6" s="1" t="n"/>
      <c r="U6" s="43">
        <f>SUM(J6-S6)</f>
        <v/>
      </c>
      <c r="V6" s="44" t="n"/>
      <c r="W6" s="2" t="n"/>
    </row>
    <row r="7" ht="15.75" customHeight="1" s="45">
      <c r="B7" s="30" t="n">
        <v>46263</v>
      </c>
      <c r="C7" s="12">
        <f>IF(B7="","",TEXT(WEEKDAY(B7),"dddd"))</f>
        <v/>
      </c>
      <c r="D7" s="16" t="n"/>
      <c r="E7" s="13">
        <f>IF(D7="","",VLOOKUP(D7,
{0,240;101,260;126,280;151,300;176,320;201,340;226,360;251,380;276,400;301,420;326,440;351,460;376,480},
2,TRUE)
+IF(WEEKDAY(B7,2)=7,48,0))</f>
        <v/>
      </c>
      <c r="F7" s="17" t="n"/>
      <c r="G7" s="18" t="n"/>
      <c r="H7" s="15">
        <f>IF(OR(F7="",G7="",F7=0),"",G7/F7)</f>
        <v/>
      </c>
      <c r="I7" s="31">
        <f>IF(H7=1,20,IF(AND(H7&gt;=98%,H7&lt;100%),10,0))</f>
        <v/>
      </c>
      <c r="J7" s="32">
        <f>E7+I7</f>
        <v/>
      </c>
      <c r="K7" s="1" t="n"/>
      <c r="L7" s="48" t="n"/>
      <c r="M7" s="49" t="n"/>
      <c r="N7" s="1" t="n"/>
      <c r="O7" s="35" t="n"/>
      <c r="P7" s="35" t="n"/>
      <c r="Q7" s="33" t="n"/>
      <c r="R7" s="33" t="n"/>
      <c r="S7" s="34">
        <f>O7+P7+Q7+R7</f>
        <v/>
      </c>
      <c r="T7" s="1" t="n"/>
      <c r="U7" s="43">
        <f>SUM(J7-S7)</f>
        <v/>
      </c>
      <c r="V7" s="44" t="n"/>
      <c r="W7" s="2" t="n"/>
    </row>
    <row r="8" ht="15.75" customHeight="1" s="45">
      <c r="B8" s="30" t="n">
        <v>46264</v>
      </c>
      <c r="C8" s="12">
        <f>IF(B8="","",TEXT(WEEKDAY(B8),"dddd"))</f>
        <v/>
      </c>
      <c r="D8" s="16" t="n"/>
      <c r="E8" s="13">
        <f>IF(D8="","",VLOOKUP(D8,
{0,240;101,260;126,280;151,300;176,320;201,340;226,360;251,380;276,400;301,420;326,440;351,460;376,480},
2,TRUE)
+IF(WEEKDAY(B8,2)=7,48,0))</f>
        <v/>
      </c>
      <c r="F8" s="17" t="n"/>
      <c r="G8" s="18" t="n"/>
      <c r="H8" s="15">
        <f>IF(OR(F8="",G8="",F8=0),"",G8/F8)</f>
        <v/>
      </c>
      <c r="I8" s="31">
        <f>IF(H8=1,20,IF(AND(H8&gt;=98%,H8&lt;100%),10,0))</f>
        <v/>
      </c>
      <c r="J8" s="32">
        <f>E8+I8</f>
        <v/>
      </c>
      <c r="K8" s="1" t="n"/>
      <c r="L8" s="50">
        <f>J38+IF(AND(L36&gt;=13,L29&gt;=98%,L29&lt;=100%),600,0)</f>
        <v/>
      </c>
      <c r="M8" s="51" t="n"/>
      <c r="N8" s="1" t="n"/>
      <c r="O8" s="35" t="n"/>
      <c r="P8" s="35" t="n"/>
      <c r="Q8" s="33" t="n"/>
      <c r="R8" s="33" t="n"/>
      <c r="S8" s="34">
        <f>O8+P8+Q8+R8</f>
        <v/>
      </c>
      <c r="T8" s="1" t="n"/>
      <c r="U8" s="43">
        <f>SUM(J8-S8)</f>
        <v/>
      </c>
      <c r="V8" s="44" t="n"/>
      <c r="W8" s="2" t="n"/>
    </row>
    <row r="9" ht="15.75" customHeight="1" s="45">
      <c r="B9" s="30" t="n">
        <v>46265</v>
      </c>
      <c r="C9" s="12">
        <f>IF(B9="","",TEXT(WEEKDAY(B9),"dddd"))</f>
        <v/>
      </c>
      <c r="D9" s="16" t="n"/>
      <c r="E9" s="13">
        <f>IF(D9="","",VLOOKUP(D9,
{0,240;101,260;126,280;151,300;176,320;201,340;226,360;251,380;276,400;301,420;326,440;351,460;376,480},
2,TRUE)
+IF(WEEKDAY(B9,2)=7,48,0))</f>
        <v/>
      </c>
      <c r="F9" s="17" t="n"/>
      <c r="G9" s="18" t="n"/>
      <c r="H9" s="15">
        <f>IF(OR(F9="",G9="",F9=0),"",G9/F9)</f>
        <v/>
      </c>
      <c r="I9" s="31">
        <f>IF(H9=1,20,IF(AND(H9&gt;=98%,H9&lt;100%),10,0))</f>
        <v/>
      </c>
      <c r="J9" s="32">
        <f>E9+I9</f>
        <v/>
      </c>
      <c r="K9" s="1" t="n"/>
      <c r="L9" s="53" t="n"/>
      <c r="M9" s="54" t="n"/>
      <c r="N9" s="1" t="n"/>
      <c r="O9" s="35" t="n"/>
      <c r="P9" s="35" t="n"/>
      <c r="Q9" s="33" t="n"/>
      <c r="R9" s="33" t="n"/>
      <c r="S9" s="34">
        <f>O9+P9+Q9+R9</f>
        <v/>
      </c>
      <c r="T9" s="1" t="n"/>
      <c r="U9" s="43">
        <f>SUM(J9-S9)</f>
        <v/>
      </c>
      <c r="V9" s="44" t="n"/>
      <c r="W9" s="2" t="n"/>
    </row>
    <row r="10" ht="15.75" customHeight="1" s="45">
      <c r="B10" s="30" t="n">
        <v>46266</v>
      </c>
      <c r="C10" s="12">
        <f>IF(B10="","",TEXT(WEEKDAY(B10),"dddd"))</f>
        <v/>
      </c>
      <c r="D10" s="16" t="n"/>
      <c r="E10" s="13">
        <f>IF(D10="","",VLOOKUP(D10,
{0,240;101,260;126,280;151,300;176,320;201,340;226,360;251,380;276,400;301,420;326,440;351,460;376,480},
2,TRUE)
+IF(WEEKDAY(B10,2)=7,48,0))</f>
        <v/>
      </c>
      <c r="F10" s="17" t="n"/>
      <c r="G10" s="18" t="n"/>
      <c r="H10" s="15">
        <f>IF(OR(F10="",G10="",F10=0),"",G10/F10)</f>
        <v/>
      </c>
      <c r="I10" s="31">
        <f>IF(H10=1,20,IF(AND(H10&gt;=98%,H10&lt;100%),10,0))</f>
        <v/>
      </c>
      <c r="J10" s="32">
        <f>E10+I10</f>
        <v/>
      </c>
      <c r="K10" s="1" t="n"/>
      <c r="L10" s="1" t="n"/>
      <c r="M10" s="1" t="n"/>
      <c r="N10" s="1" t="n"/>
      <c r="O10" s="35" t="n"/>
      <c r="P10" s="35" t="n"/>
      <c r="Q10" s="33" t="n"/>
      <c r="R10" s="33" t="n"/>
      <c r="S10" s="34">
        <f>O10+P10+Q10+R10</f>
        <v/>
      </c>
      <c r="T10" s="1" t="n"/>
      <c r="U10" s="43">
        <f>SUM(J10-S10)</f>
        <v/>
      </c>
      <c r="V10" s="44" t="n"/>
      <c r="W10" s="2" t="n"/>
    </row>
    <row r="11" ht="15.75" customHeight="1" s="45">
      <c r="B11" s="30" t="n">
        <v>46267</v>
      </c>
      <c r="C11" s="12">
        <f>IF(B11="","",TEXT(WEEKDAY(B11),"dddd"))</f>
        <v/>
      </c>
      <c r="D11" s="16" t="n"/>
      <c r="E11" s="13">
        <f>IF(D11="","",VLOOKUP(D11,
{0,240;101,260;126,280;151,300;176,320;201,340;226,360;251,380;276,400;301,420;326,440;351,460;376,480},
2,TRUE)
+IF(WEEKDAY(B11,2)=7,48,0))</f>
        <v/>
      </c>
      <c r="F11" s="17" t="n"/>
      <c r="G11" s="18" t="n"/>
      <c r="H11" s="15">
        <f>IF(OR(F11="",G11="",F11=0),"",G11/F11)</f>
        <v/>
      </c>
      <c r="I11" s="31">
        <f>IF(H11=1,20,IF(AND(H11&gt;=98%,H11&lt;100%),10,0))</f>
        <v/>
      </c>
      <c r="J11" s="32">
        <f>E11+I11</f>
        <v/>
      </c>
      <c r="K11" s="1" t="n"/>
      <c r="L11" s="46" t="inlineStr">
        <is>
          <t>Total/Ganho</t>
        </is>
      </c>
      <c r="M11" s="47" t="n"/>
      <c r="N11" s="1" t="n"/>
      <c r="O11" s="35" t="n"/>
      <c r="P11" s="35" t="n"/>
      <c r="Q11" s="33" t="n"/>
      <c r="R11" s="33" t="n"/>
      <c r="S11" s="34">
        <f>O11+P11+Q11+R11</f>
        <v/>
      </c>
      <c r="T11" s="1" t="n"/>
      <c r="U11" s="43">
        <f>SUM(J11-S11)</f>
        <v/>
      </c>
      <c r="V11" s="44" t="n"/>
      <c r="W11" s="2" t="n"/>
    </row>
    <row r="12" ht="15.75" customHeight="1" s="45">
      <c r="B12" s="30" t="n">
        <v>46268</v>
      </c>
      <c r="C12" s="12">
        <f>IF(B12="","",TEXT(WEEKDAY(B12),"dddd"))</f>
        <v/>
      </c>
      <c r="D12" s="16" t="n"/>
      <c r="E12" s="13">
        <f>IF(D12="","",VLOOKUP(D12,
{0,240;101,260;126,280;151,300;176,320;201,340;226,360;251,380;276,400;301,420;326,440;351,460;376,480},
2,TRUE)
+IF(WEEKDAY(B12,2)=7,48,0))</f>
        <v/>
      </c>
      <c r="F12" s="17" t="n"/>
      <c r="G12" s="18" t="n"/>
      <c r="H12" s="15">
        <f>IF(OR(F12="",G12="",F12=0),"",G12/F12)</f>
        <v/>
      </c>
      <c r="I12" s="31">
        <f>IF(H12=1,20,IF(AND(H12&gt;=98%,H12&lt;100%),10,0))</f>
        <v/>
      </c>
      <c r="J12" s="32">
        <f>E12+I12</f>
        <v/>
      </c>
      <c r="K12" s="1" t="n"/>
      <c r="L12" s="48" t="n"/>
      <c r="M12" s="49" t="n"/>
      <c r="N12" s="1" t="n"/>
      <c r="O12" s="35" t="n"/>
      <c r="P12" s="35" t="n"/>
      <c r="Q12" s="33" t="n"/>
      <c r="R12" s="33" t="n"/>
      <c r="S12" s="34">
        <f>O12+P12+Q12+R12</f>
        <v/>
      </c>
      <c r="T12" s="1" t="n"/>
      <c r="U12" s="43">
        <f>SUM(J12-S12)</f>
        <v/>
      </c>
      <c r="V12" s="44" t="n"/>
      <c r="W12" s="2" t="n"/>
    </row>
    <row r="13" ht="15.75" customHeight="1" s="45">
      <c r="B13" s="30" t="n">
        <v>46269</v>
      </c>
      <c r="C13" s="12">
        <f>IF(B13="","",TEXT(WEEKDAY(B13),"dddd"))</f>
        <v/>
      </c>
      <c r="D13" s="16" t="n"/>
      <c r="E13" s="13">
        <f>IF(D13="","",VLOOKUP(D13,
{0,240;101,260;126,280;151,300;176,320;201,340;226,360;251,380;276,400;301,420;326,440;351,460;376,480},
2,TRUE)
+IF(WEEKDAY(B13,2)=7,48,0))</f>
        <v/>
      </c>
      <c r="F13" s="17" t="n"/>
      <c r="G13" s="18" t="n"/>
      <c r="H13" s="15">
        <f>IF(OR(F13="",G13="",F13=0),"",G13/F13)</f>
        <v/>
      </c>
      <c r="I13" s="31">
        <f>IF(H13=1,20,IF(AND(H13&gt;=98%,H13&lt;100%),10,0))</f>
        <v/>
      </c>
      <c r="J13" s="32">
        <f>E13+I13</f>
        <v/>
      </c>
      <c r="K13" s="1" t="n"/>
      <c r="L13" s="50">
        <f>SUM(L3+L8)</f>
        <v/>
      </c>
      <c r="M13" s="51" t="n"/>
      <c r="N13" s="1" t="n"/>
      <c r="O13" s="35" t="n"/>
      <c r="P13" s="35" t="n"/>
      <c r="Q13" s="33" t="n"/>
      <c r="R13" s="33" t="n"/>
      <c r="S13" s="34">
        <f>O13+P13+Q13+R13</f>
        <v/>
      </c>
      <c r="T13" s="1" t="n"/>
      <c r="U13" s="43">
        <f>SUM(J13-S13)</f>
        <v/>
      </c>
      <c r="V13" s="44" t="n"/>
      <c r="W13" s="2" t="n"/>
    </row>
    <row r="14" ht="15.75" customHeight="1" s="45">
      <c r="B14" s="30" t="n">
        <v>46270</v>
      </c>
      <c r="C14" s="12">
        <f>IF(B14="","",TEXT(WEEKDAY(B14),"dddd"))</f>
        <v/>
      </c>
      <c r="D14" s="16" t="n"/>
      <c r="E14" s="13">
        <f>IF(D14="","",VLOOKUP(D14,
{0,240;101,260;126,280;151,300;176,320;201,340;226,360;251,380;276,400;301,420;326,440;351,460;376,480},
2,TRUE)
+IF(WEEKDAY(B14,2)=7,48,0))</f>
        <v/>
      </c>
      <c r="F14" s="17" t="n"/>
      <c r="G14" s="18" t="n"/>
      <c r="H14" s="15">
        <f>IF(OR(F14="",G14="",F14=0),"",G14/F14)</f>
        <v/>
      </c>
      <c r="I14" s="31">
        <f>IF(H14=1,20,IF(AND(H14&gt;=98%,H14&lt;100%),10,0))</f>
        <v/>
      </c>
      <c r="J14" s="32">
        <f>E14+I14</f>
        <v/>
      </c>
      <c r="K14" s="1" t="n"/>
      <c r="L14" s="52" t="n"/>
      <c r="M14" s="51" t="n"/>
      <c r="N14" s="1" t="n"/>
      <c r="O14" s="35" t="n"/>
      <c r="P14" s="35" t="n"/>
      <c r="Q14" s="33" t="n"/>
      <c r="R14" s="33" t="n"/>
      <c r="S14" s="34">
        <f>O14+P14+Q14+R14</f>
        <v/>
      </c>
      <c r="T14" s="1" t="n"/>
      <c r="U14" s="43">
        <f>SUM(J14-S14)</f>
        <v/>
      </c>
      <c r="V14" s="44" t="n"/>
      <c r="W14" s="2" t="n"/>
    </row>
    <row r="15" ht="15.75" customHeight="1" s="45">
      <c r="B15" s="30" t="n">
        <v>46271</v>
      </c>
      <c r="C15" s="12">
        <f>IF(B15="","",TEXT(WEEKDAY(B15),"dddd"))</f>
        <v/>
      </c>
      <c r="D15" s="16" t="n"/>
      <c r="E15" s="13">
        <f>IF(D15="","",VLOOKUP(D15,
{0,240;101,260;126,280;151,300;176,320;201,340;226,360;251,380;276,400;301,420;326,440;351,460;376,480},
2,TRUE)
+IF(WEEKDAY(B15,2)=7,48,0))</f>
        <v/>
      </c>
      <c r="F15" s="17" t="n"/>
      <c r="G15" s="18" t="n"/>
      <c r="H15" s="15">
        <f>IF(OR(F15="",G15="",F15=0),"",G15/F15)</f>
        <v/>
      </c>
      <c r="I15" s="31">
        <f>IF(H15=1,20,IF(AND(H15&gt;=98%,H15&lt;100%),10,0))</f>
        <v/>
      </c>
      <c r="J15" s="32">
        <f>E15+I15</f>
        <v/>
      </c>
      <c r="K15" s="1" t="n"/>
      <c r="L15" s="53" t="n"/>
      <c r="M15" s="54" t="n"/>
      <c r="N15" s="1" t="n"/>
      <c r="O15" s="35" t="n"/>
      <c r="P15" s="35" t="n"/>
      <c r="Q15" s="33" t="n"/>
      <c r="R15" s="33" t="n"/>
      <c r="S15" s="34">
        <f>O15+P15+Q15+R15</f>
        <v/>
      </c>
      <c r="T15" s="1" t="n"/>
      <c r="U15" s="43">
        <f>SUM(J15-S15)</f>
        <v/>
      </c>
      <c r="V15" s="44" t="n"/>
      <c r="W15" s="2" t="n"/>
    </row>
    <row r="16" ht="15.75" customHeight="1" s="45">
      <c r="B16" s="30" t="n">
        <v>46272</v>
      </c>
      <c r="C16" s="12">
        <f>IF(B16="","",TEXT(WEEKDAY(B16),"dddd"))</f>
        <v/>
      </c>
      <c r="D16" s="16" t="n"/>
      <c r="E16" s="13">
        <f>IF(D16="","",VLOOKUP(D16,
{0,240;101,260;126,280;151,300;176,320;201,340;226,360;251,380;276,400;301,420;326,440;351,460;376,480},
2,TRUE)
+IF(WEEKDAY(B16,2)=7,48,0))</f>
        <v/>
      </c>
      <c r="F16" s="17" t="n"/>
      <c r="G16" s="18" t="n"/>
      <c r="H16" s="15">
        <f>IF(OR(F16="",G16="",F16=0),"",G16/F16)</f>
        <v/>
      </c>
      <c r="I16" s="31">
        <f>IF(H16=1,20,IF(AND(H16&gt;=98%,H16&lt;100%),10,0))</f>
        <v/>
      </c>
      <c r="J16" s="32">
        <f>E16+I16</f>
        <v/>
      </c>
      <c r="K16" s="1" t="n"/>
      <c r="L16" s="1" t="n"/>
      <c r="M16" s="1" t="n"/>
      <c r="N16" s="1" t="n"/>
      <c r="O16" s="35" t="n"/>
      <c r="P16" s="35" t="n"/>
      <c r="Q16" s="33" t="n"/>
      <c r="R16" s="33" t="n"/>
      <c r="S16" s="34">
        <f>O16+P16+Q16+R16</f>
        <v/>
      </c>
      <c r="T16" s="1" t="n"/>
      <c r="U16" s="43">
        <f>SUM(J16-S16)</f>
        <v/>
      </c>
      <c r="V16" s="44" t="n"/>
      <c r="W16" s="2" t="n"/>
    </row>
    <row r="17" ht="15.75" customHeight="1" s="45">
      <c r="B17" s="30" t="n">
        <v>46273</v>
      </c>
      <c r="C17" s="12">
        <f>IF(B17="","",TEXT(WEEKDAY(B17),"dddd"))</f>
        <v/>
      </c>
      <c r="D17" s="16" t="n"/>
      <c r="E17" s="13">
        <f>IF(D17="","",VLOOKUP(D17,
{0,240;101,260;126,280;151,300;176,320;201,340;226,360;251,380;276,400;301,420;326,440;351,460;376,480},
2,TRUE)
+IF(WEEKDAY(B17,2)=7,48,0))</f>
        <v/>
      </c>
      <c r="F17" s="17" t="n"/>
      <c r="G17" s="18" t="n"/>
      <c r="H17" s="15">
        <f>IF(OR(F17="",G17="",F17=0),"",G17/F17)</f>
        <v/>
      </c>
      <c r="I17" s="31">
        <f>IF(H17=1,20,IF(AND(H17&gt;=98%,H17&lt;100%),10,0))</f>
        <v/>
      </c>
      <c r="J17" s="32">
        <f>E17+I17</f>
        <v/>
      </c>
      <c r="K17" s="1" t="n"/>
      <c r="L17" s="46" t="inlineStr">
        <is>
          <t>Total/Gasto</t>
        </is>
      </c>
      <c r="M17" s="47" t="n"/>
      <c r="N17" s="1" t="n"/>
      <c r="O17" s="35" t="n"/>
      <c r="P17" s="35" t="n"/>
      <c r="Q17" s="33" t="n"/>
      <c r="R17" s="33" t="n"/>
      <c r="S17" s="34">
        <f>O17+P17+Q17+R17</f>
        <v/>
      </c>
      <c r="T17" s="1" t="n"/>
      <c r="U17" s="43">
        <f>SUM(J17-S17)</f>
        <v/>
      </c>
      <c r="V17" s="44" t="n"/>
      <c r="W17" s="2" t="n"/>
    </row>
    <row r="18" ht="15.75" customHeight="1" s="45">
      <c r="B18" s="30" t="n">
        <v>46274</v>
      </c>
      <c r="C18" s="12">
        <f>IF(B18="","",TEXT(WEEKDAY(B18),"dddd"))</f>
        <v/>
      </c>
      <c r="D18" s="16" t="n"/>
      <c r="E18" s="13">
        <f>IF(D18="","",VLOOKUP(D18,
{0,240;101,260;126,280;151,300;176,320;201,340;226,360;251,380;276,400;301,420;326,440;351,460;376,480},
2,TRUE)
+IF(WEEKDAY(B18,2)=7,48,0))</f>
        <v/>
      </c>
      <c r="F18" s="17" t="n"/>
      <c r="G18" s="18" t="n"/>
      <c r="H18" s="15">
        <f>IF(OR(F18="",G18="",F18=0),"",G18/F18)</f>
        <v/>
      </c>
      <c r="I18" s="31">
        <f>IF(H18=1,20,IF(AND(H18&gt;=98%,H18&lt;100%),10,0))</f>
        <v/>
      </c>
      <c r="J18" s="32">
        <f>E18+I18</f>
        <v/>
      </c>
      <c r="K18" s="1" t="n"/>
      <c r="L18" s="48" t="n"/>
      <c r="M18" s="49" t="n"/>
      <c r="N18" s="1" t="n"/>
      <c r="O18" s="35" t="n"/>
      <c r="P18" s="35" t="n"/>
      <c r="Q18" s="33" t="n"/>
      <c r="R18" s="33" t="n"/>
      <c r="S18" s="34">
        <f>O18+P18+Q18+R18</f>
        <v/>
      </c>
      <c r="T18" s="1" t="n"/>
      <c r="U18" s="43">
        <f>SUM(J18-S18)</f>
        <v/>
      </c>
      <c r="V18" s="44" t="n"/>
      <c r="W18" s="2" t="n"/>
    </row>
    <row r="19" ht="15.75" customHeight="1" s="45">
      <c r="B19" s="30" t="n">
        <v>46275</v>
      </c>
      <c r="C19" s="12">
        <f>IF(B19="","",TEXT(WEEKDAY(B19),"dddd"))</f>
        <v/>
      </c>
      <c r="D19" s="16" t="n"/>
      <c r="E19" s="13">
        <f>IF(D19="","",VLOOKUP(D19,
{0,240;101,260;126,280;151,300;176,320;201,340;226,360;251,380;276,400;301,420;326,440;351,460;376,480},
2,TRUE)
+IF(WEEKDAY(B19,2)=7,48,0))</f>
        <v/>
      </c>
      <c r="F19" s="17" t="n"/>
      <c r="G19" s="18" t="n"/>
      <c r="H19" s="15">
        <f>IF(OR(F19="",G19="",F19=0),"",G19/F19)</f>
        <v/>
      </c>
      <c r="I19" s="31">
        <f>IF(H19=1,20,IF(AND(H19&gt;=98%,H19&lt;100%),10,0))</f>
        <v/>
      </c>
      <c r="J19" s="32">
        <f>E19+I19</f>
        <v/>
      </c>
      <c r="K19" s="1" t="n"/>
      <c r="L19" s="57">
        <f>SUM(S4:S35)</f>
        <v/>
      </c>
      <c r="M19" s="51" t="n"/>
      <c r="N19" s="1" t="n"/>
      <c r="O19" s="35" t="n"/>
      <c r="P19" s="35" t="n"/>
      <c r="Q19" s="33" t="n"/>
      <c r="R19" s="33" t="n"/>
      <c r="S19" s="34">
        <f>O19+P19+Q19+R19</f>
        <v/>
      </c>
      <c r="T19" s="1" t="n"/>
      <c r="U19" s="43">
        <f>SUM(J19-S19)</f>
        <v/>
      </c>
      <c r="V19" s="44" t="n"/>
      <c r="W19" s="2" t="n"/>
    </row>
    <row r="20" ht="15.75" customHeight="1" s="45">
      <c r="A20" s="36" t="n"/>
      <c r="B20" s="37" t="n"/>
      <c r="C20" s="19" t="n"/>
      <c r="D20" s="20" t="n"/>
      <c r="E20" s="21" t="n"/>
      <c r="F20" s="22" t="n"/>
      <c r="G20" s="23" t="n"/>
      <c r="H20" s="24" t="n"/>
      <c r="I20" s="38" t="n"/>
      <c r="J20" s="25" t="n"/>
      <c r="K20" s="1" t="n"/>
      <c r="L20" s="52" t="n"/>
      <c r="M20" s="51" t="n"/>
      <c r="N20" s="1" t="n"/>
      <c r="O20" s="39" t="n"/>
      <c r="P20" s="39" t="n"/>
      <c r="Q20" s="40" t="n"/>
      <c r="R20" s="40" t="n"/>
      <c r="S20" s="40" t="n"/>
      <c r="T20" s="1" t="n"/>
      <c r="U20" s="59" t="n"/>
      <c r="V20" s="44" t="n"/>
      <c r="W20" s="2" t="n"/>
    </row>
    <row r="21" ht="15.75" customHeight="1" s="45">
      <c r="A21" s="64" t="n">
        <v>2</v>
      </c>
      <c r="B21" s="30" t="n">
        <v>46276</v>
      </c>
      <c r="C21" s="12">
        <f>IF(B21="","",TEXT(WEEKDAY(B21),"dddd"))</f>
        <v/>
      </c>
      <c r="D21" s="16" t="n"/>
      <c r="E21" s="13">
        <f>IF(D21="","",VLOOKUP(D21,
{0,240;101,260;126,280;151,300;176,320;201,340;226,360;251,380;276,400;301,420;326,440;351,460;376,480},
2,TRUE)
+IF(WEEKDAY(B21,2)=7,48,0))</f>
        <v/>
      </c>
      <c r="F21" s="17" t="n"/>
      <c r="G21" s="18" t="n"/>
      <c r="H21" s="15">
        <f>IF(OR(F21="",G21="",F21=0),"",G21/F21)</f>
        <v/>
      </c>
      <c r="I21" s="31">
        <f>IF(H21=1,20,IF(AND(H21&gt;=98%,H21&lt;100%),10,0))</f>
        <v/>
      </c>
      <c r="J21" s="32">
        <f>E21+I21</f>
        <v/>
      </c>
      <c r="K21" s="1" t="n"/>
      <c r="L21" s="53" t="n"/>
      <c r="M21" s="54" t="n"/>
      <c r="N21" s="1" t="n"/>
      <c r="O21" s="35" t="n"/>
      <c r="P21" s="35" t="n"/>
      <c r="Q21" s="33" t="n"/>
      <c r="R21" s="33" t="n"/>
      <c r="S21" s="34">
        <f>O21+P21+Q21+R21</f>
        <v/>
      </c>
      <c r="T21" s="1" t="n"/>
      <c r="U21" s="43">
        <f>SUM(J21-S21)</f>
        <v/>
      </c>
      <c r="V21" s="44" t="n"/>
      <c r="W21" s="2" t="n"/>
    </row>
    <row r="22" ht="15.75" customHeight="1" s="45">
      <c r="B22" s="30" t="n">
        <v>46277</v>
      </c>
      <c r="C22" s="12">
        <f>IF(B22="","",TEXT(WEEKDAY(B22),"dddd"))</f>
        <v/>
      </c>
      <c r="D22" s="16" t="n"/>
      <c r="E22" s="13">
        <f>IF(D22="","",VLOOKUP(D22,
{0,240;101,260;126,280;151,300;176,320;201,340;226,360;251,380;276,400;301,420;326,440;351,460;376,480},
2,TRUE)
+IF(WEEKDAY(B22,2)=7,48,0))</f>
        <v/>
      </c>
      <c r="F22" s="17" t="n"/>
      <c r="G22" s="18" t="n"/>
      <c r="H22" s="15">
        <f>IF(OR(F22="",G22="",F22=0),"",G22/F22)</f>
        <v/>
      </c>
      <c r="I22" s="31">
        <f>IF(H22=1,20,IF(AND(H22&gt;=98%,H22&lt;100%),10,0))</f>
        <v/>
      </c>
      <c r="J22" s="32">
        <f>E22+I22</f>
        <v/>
      </c>
      <c r="K22" s="1" t="n"/>
      <c r="L22" s="46" t="inlineStr">
        <is>
          <t>Total/Lucro</t>
        </is>
      </c>
      <c r="M22" s="47" t="n"/>
      <c r="N22" s="1" t="n"/>
      <c r="O22" s="35" t="n"/>
      <c r="P22" s="35" t="n"/>
      <c r="Q22" s="33" t="n"/>
      <c r="R22" s="33" t="n"/>
      <c r="S22" s="34">
        <f>O22+P22+Q22+R22</f>
        <v/>
      </c>
      <c r="T22" s="1" t="n"/>
      <c r="U22" s="43">
        <f>SUM(J22-S22)</f>
        <v/>
      </c>
      <c r="V22" s="44" t="n"/>
      <c r="W22" s="2" t="n"/>
    </row>
    <row r="23" ht="15.75" customHeight="1" s="45">
      <c r="B23" s="30" t="n">
        <v>46278</v>
      </c>
      <c r="C23" s="12">
        <f>IF(B23="","",TEXT(WEEKDAY(B23),"dddd"))</f>
        <v/>
      </c>
      <c r="D23" s="16" t="n"/>
      <c r="E23" s="13">
        <f>IF(D23="","",VLOOKUP(D23,
{0,240;101,260;126,280;151,300;176,320;201,340;226,360;251,380;276,400;301,420;326,440;351,460;376,480},
2,TRUE)
+IF(WEEKDAY(B23,2)=7,48,0))</f>
        <v/>
      </c>
      <c r="F23" s="17" t="n"/>
      <c r="G23" s="18" t="n"/>
      <c r="H23" s="15">
        <f>IF(OR(F23="",G23="",F23=0),"",G23/F23)</f>
        <v/>
      </c>
      <c r="I23" s="31">
        <f>IF(H23=1,20,IF(AND(H23&gt;=98%,H23&lt;100%),10,0))</f>
        <v/>
      </c>
      <c r="J23" s="32">
        <f>E23+I23</f>
        <v/>
      </c>
      <c r="K23" s="1" t="n"/>
      <c r="L23" s="48" t="n"/>
      <c r="M23" s="49" t="n"/>
      <c r="N23" s="1" t="n"/>
      <c r="O23" s="35" t="n"/>
      <c r="P23" s="35" t="n"/>
      <c r="Q23" s="33" t="n"/>
      <c r="R23" s="33" t="n"/>
      <c r="S23" s="34">
        <f>O23+P23+Q23+R23</f>
        <v/>
      </c>
      <c r="T23" s="1" t="n"/>
      <c r="U23" s="43">
        <f>SUM(J23-S23)</f>
        <v/>
      </c>
      <c r="V23" s="44" t="n"/>
      <c r="W23" s="2" t="n"/>
    </row>
    <row r="24" ht="15.75" customHeight="1" s="45">
      <c r="B24" s="30" t="n">
        <v>46279</v>
      </c>
      <c r="C24" s="12">
        <f>IF(B24="","",TEXT(WEEKDAY(B24),"dddd"))</f>
        <v/>
      </c>
      <c r="D24" s="16" t="n"/>
      <c r="E24" s="13">
        <f>IF(D24="","",VLOOKUP(D24,
{0,240;101,260;126,280;151,300;176,320;201,340;226,360;251,380;276,400;301,420;326,440;351,460;376,480},
2,TRUE)
+IF(WEEKDAY(B24,2)=7,48,0))</f>
        <v/>
      </c>
      <c r="F24" s="17" t="n"/>
      <c r="G24" s="18" t="n"/>
      <c r="H24" s="15">
        <f>IF(OR(F24="",G24="",F24=0),"",G24/F24)</f>
        <v/>
      </c>
      <c r="I24" s="31">
        <f>IF(H24=1,20,IF(AND(H24&gt;=98%,H24&lt;100%),10,0))</f>
        <v/>
      </c>
      <c r="J24" s="32">
        <f>E24+I24</f>
        <v/>
      </c>
      <c r="K24" s="1" t="n"/>
      <c r="L24" s="60">
        <f>SUM(L13-L19)</f>
        <v/>
      </c>
      <c r="M24" s="51" t="n"/>
      <c r="N24" s="1" t="n"/>
      <c r="O24" s="35" t="n"/>
      <c r="P24" s="35" t="n"/>
      <c r="Q24" s="33" t="n"/>
      <c r="R24" s="33" t="n"/>
      <c r="S24" s="34">
        <f>O24+P24+Q24+R24</f>
        <v/>
      </c>
      <c r="T24" s="1" t="n"/>
      <c r="U24" s="43">
        <f>SUM(J24-S24)</f>
        <v/>
      </c>
      <c r="V24" s="44" t="n"/>
      <c r="W24" s="2" t="n"/>
    </row>
    <row r="25" ht="15.75" customHeight="1" s="45">
      <c r="B25" s="30" t="n">
        <v>46280</v>
      </c>
      <c r="C25" s="12">
        <f>IF(B25="","",TEXT(WEEKDAY(B25),"dddd"))</f>
        <v/>
      </c>
      <c r="D25" s="16" t="n"/>
      <c r="E25" s="13">
        <f>IF(D25="","",VLOOKUP(D25,
{0,240;101,260;126,280;151,300;176,320;201,340;226,360;251,380;276,400;301,420;326,440;351,460;376,480},
2,TRUE)
+IF(WEEKDAY(B25,2)=7,48,0))</f>
        <v/>
      </c>
      <c r="F25" s="17" t="n"/>
      <c r="G25" s="18" t="n"/>
      <c r="H25" s="15">
        <f>IF(OR(F25="",G25="",F25=0),"",G25/F25)</f>
        <v/>
      </c>
      <c r="I25" s="31">
        <f>IF(H25=1,20,IF(AND(H25&gt;=98%,H25&lt;100%),10,0))</f>
        <v/>
      </c>
      <c r="J25" s="32">
        <f>E25+I25</f>
        <v/>
      </c>
      <c r="K25" s="1" t="n"/>
      <c r="L25" s="53" t="n"/>
      <c r="M25" s="54" t="n"/>
      <c r="N25" s="1" t="n"/>
      <c r="O25" s="35" t="n"/>
      <c r="P25" s="35" t="n"/>
      <c r="Q25" s="33" t="n"/>
      <c r="R25" s="33" t="n"/>
      <c r="S25" s="34">
        <f>O25+P25+Q25+R25</f>
        <v/>
      </c>
      <c r="T25" s="1" t="n"/>
      <c r="U25" s="43">
        <f>SUM(J25-S25)</f>
        <v/>
      </c>
      <c r="V25" s="44" t="n"/>
      <c r="W25" s="2" t="n"/>
    </row>
    <row r="26" ht="15.75" customHeight="1" s="45">
      <c r="B26" s="30" t="n">
        <v>46281</v>
      </c>
      <c r="C26" s="12">
        <f>IF(B26="","",TEXT(WEEKDAY(B26),"dddd"))</f>
        <v/>
      </c>
      <c r="D26" s="16" t="n"/>
      <c r="E26" s="13">
        <f>IF(D26="","",VLOOKUP(D26,
{0,240;101,260;126,280;151,300;176,320;201,340;226,360;251,380;276,400;301,420;326,440;351,460;376,480},
2,TRUE)
+IF(WEEKDAY(B26,2)=7,48,0))</f>
        <v/>
      </c>
      <c r="F26" s="17" t="n"/>
      <c r="G26" s="18" t="n"/>
      <c r="H26" s="15">
        <f>IF(OR(F26="",G26="",F26=0),"",G26/F26)</f>
        <v/>
      </c>
      <c r="I26" s="31">
        <f>IF(H26=1,20,IF(AND(H26&gt;=98%,H26&lt;100%),10,0))</f>
        <v/>
      </c>
      <c r="J26" s="32">
        <f>E26+I26</f>
        <v/>
      </c>
      <c r="K26" s="1" t="n"/>
      <c r="L26" s="1" t="n"/>
      <c r="M26" s="1" t="n"/>
      <c r="N26" s="1" t="n"/>
      <c r="O26" s="35" t="n"/>
      <c r="P26" s="35" t="n"/>
      <c r="Q26" s="33" t="n"/>
      <c r="R26" s="33" t="n"/>
      <c r="S26" s="34">
        <f>O26+P26+Q26+R26</f>
        <v/>
      </c>
      <c r="T26" s="1" t="n"/>
      <c r="U26" s="43">
        <f>SUM(J26-S26)</f>
        <v/>
      </c>
      <c r="V26" s="44" t="n"/>
      <c r="W26" s="2" t="n"/>
    </row>
    <row r="27" ht="15.75" customHeight="1" s="45">
      <c r="B27" s="30" t="n">
        <v>46282</v>
      </c>
      <c r="C27" s="12">
        <f>IF(B27="","",TEXT(WEEKDAY(B27),"dddd"))</f>
        <v/>
      </c>
      <c r="D27" s="16" t="n"/>
      <c r="E27" s="13">
        <f>IF(D27="","",VLOOKUP(D27,
{0,240;101,260;126,280;151,300;176,320;201,340;226,360;251,380;276,400;301,420;326,440;351,460;376,480},
2,TRUE)
+IF(WEEKDAY(B27,2)=7,48,0))</f>
        <v/>
      </c>
      <c r="F27" s="17" t="n"/>
      <c r="G27" s="18" t="n"/>
      <c r="H27" s="15">
        <f>IF(OR(F27="",G27="",F27=0),"",G27/F27)</f>
        <v/>
      </c>
      <c r="I27" s="31">
        <f>IF(H27=1,20,IF(AND(H27&gt;=98%,H27&lt;100%),10,0))</f>
        <v/>
      </c>
      <c r="J27" s="32">
        <f>E27+I27</f>
        <v/>
      </c>
      <c r="K27" s="1" t="n"/>
      <c r="L27" s="66" t="inlineStr">
        <is>
          <t>1ª bônus 600</t>
        </is>
      </c>
      <c r="M27" s="56" t="n"/>
      <c r="N27" s="1" t="n"/>
      <c r="O27" s="35" t="n"/>
      <c r="P27" s="35" t="n"/>
      <c r="Q27" s="33" t="n"/>
      <c r="R27" s="33" t="n"/>
      <c r="S27" s="34">
        <f>O27+P27+Q27+R27</f>
        <v/>
      </c>
      <c r="T27" s="1" t="n"/>
      <c r="U27" s="43">
        <f>SUM(J27-S27)</f>
        <v/>
      </c>
      <c r="V27" s="44" t="n"/>
      <c r="W27" s="2" t="n"/>
    </row>
    <row r="28" ht="15.75" customHeight="1" s="45">
      <c r="B28" s="30" t="n">
        <v>46283</v>
      </c>
      <c r="C28" s="12">
        <f>IF(B28="","",TEXT(WEEKDAY(B28),"dddd"))</f>
        <v/>
      </c>
      <c r="D28" s="16" t="n"/>
      <c r="E28" s="13">
        <f>IF(D28="","",VLOOKUP(D28,
{0,240;101,260;126,280;151,300;176,320;201,340;226,360;251,380;276,400;301,420;326,440;351,460;376,480},
2,TRUE)
+IF(WEEKDAY(B28,2)=7,48,0))</f>
        <v/>
      </c>
      <c r="F28" s="17" t="n"/>
      <c r="G28" s="18" t="n"/>
      <c r="H28" s="15">
        <f>IF(OR(F28="",G28="",F28=0),"",G28/F28)</f>
        <v/>
      </c>
      <c r="I28" s="31">
        <f>IF(H28=1,20,IF(AND(H28&gt;=98%,H28&lt;100%),10,0))</f>
        <v/>
      </c>
      <c r="J28" s="32">
        <f>E28+I28</f>
        <v/>
      </c>
      <c r="K28" s="1" t="n"/>
      <c r="L28" s="53" t="n"/>
      <c r="M28" s="54" t="n"/>
      <c r="N28" s="1" t="n"/>
      <c r="O28" s="35" t="n"/>
      <c r="P28" s="35" t="n"/>
      <c r="Q28" s="33" t="n"/>
      <c r="R28" s="33" t="n"/>
      <c r="S28" s="34">
        <f>O28+P28+Q28+R28</f>
        <v/>
      </c>
      <c r="T28" s="1" t="n"/>
      <c r="U28" s="43">
        <f>SUM(J28-S28)</f>
        <v/>
      </c>
      <c r="V28" s="44" t="n"/>
      <c r="W28" s="2" t="n"/>
    </row>
    <row r="29" ht="15.75" customHeight="1" s="45">
      <c r="B29" s="30" t="n">
        <v>46284</v>
      </c>
      <c r="C29" s="12">
        <f>IF(B29="","",TEXT(WEEKDAY(B29),"dddd"))</f>
        <v/>
      </c>
      <c r="D29" s="16" t="n"/>
      <c r="E29" s="13">
        <f>IF(D29="","",VLOOKUP(D29,
{0,240;101,260;126,280;151,300;176,320;201,340;226,360;251,380;276,400;301,420;326,440;351,460;376,480},
2,TRUE)
+IF(WEEKDAY(B29,2)=7,48,0))</f>
        <v/>
      </c>
      <c r="F29" s="17" t="n"/>
      <c r="G29" s="18" t="n"/>
      <c r="H29" s="15">
        <f>IF(OR(F29="",G29="",F29=0),"",G29/F29)</f>
        <v/>
      </c>
      <c r="I29" s="31">
        <f>IF(H29=1,20,IF(AND(H29&gt;=98%,H29&lt;100%),10,0))</f>
        <v/>
      </c>
      <c r="J29" s="32">
        <f>E29+I29</f>
        <v/>
      </c>
      <c r="K29" s="1" t="n"/>
      <c r="L29" s="55">
        <f>IF(OR(F37="",G37="",F37=0),"",G37/F37)</f>
        <v/>
      </c>
      <c r="M29" s="56" t="n"/>
      <c r="N29" s="1" t="n"/>
      <c r="O29" s="35" t="n"/>
      <c r="P29" s="35" t="n"/>
      <c r="Q29" s="33" t="n"/>
      <c r="R29" s="33" t="n"/>
      <c r="S29" s="34">
        <f>O29+P29+Q29+R29</f>
        <v/>
      </c>
      <c r="T29" s="1" t="n"/>
      <c r="U29" s="43">
        <f>SUM(J29-S29)</f>
        <v/>
      </c>
      <c r="V29" s="44" t="n"/>
      <c r="W29" s="2" t="n"/>
    </row>
    <row r="30" ht="15.75" customHeight="1" s="45">
      <c r="B30" s="30" t="n">
        <v>46285</v>
      </c>
      <c r="C30" s="12">
        <f>IF(B30="","",TEXT(WEEKDAY(B30),"dddd"))</f>
        <v/>
      </c>
      <c r="D30" s="16" t="n"/>
      <c r="E30" s="13">
        <f>IF(D30="","",VLOOKUP(D30,
{0,240;101,260;126,280;151,300;176,320;201,340;226,360;251,380;276,400;301,420;326,440;351,460;376,480},
2,TRUE)
+IF(WEEKDAY(B30,2)=7,48,0))</f>
        <v/>
      </c>
      <c r="F30" s="17" t="n"/>
      <c r="G30" s="18" t="n"/>
      <c r="H30" s="15">
        <f>IF(OR(F30="",G30="",F30=0),"",G30/F30)</f>
        <v/>
      </c>
      <c r="I30" s="31">
        <f>IF(H30=1,20,IF(AND(H30&gt;=98%,H30&lt;100%),10,0))</f>
        <v/>
      </c>
      <c r="J30" s="32">
        <f>E30+I30</f>
        <v/>
      </c>
      <c r="K30" s="1" t="n"/>
      <c r="L30" s="53" t="n"/>
      <c r="M30" s="54" t="n"/>
      <c r="N30" s="1" t="n"/>
      <c r="O30" s="35" t="n"/>
      <c r="P30" s="35" t="n"/>
      <c r="Q30" s="33" t="n"/>
      <c r="R30" s="33" t="n"/>
      <c r="S30" s="34">
        <f>O30+P30+Q30+R30</f>
        <v/>
      </c>
      <c r="T30" s="1" t="n"/>
      <c r="U30" s="43">
        <f>SUM(J30-S30)</f>
        <v/>
      </c>
      <c r="V30" s="44" t="n"/>
      <c r="W30" s="2" t="n"/>
    </row>
    <row r="31" ht="15.75" customHeight="1" s="45">
      <c r="B31" s="30" t="n">
        <v>46286</v>
      </c>
      <c r="C31" s="12">
        <f>IF(B31="","",TEXT(WEEKDAY(B31),"dddd"))</f>
        <v/>
      </c>
      <c r="D31" s="16" t="n"/>
      <c r="E31" s="13">
        <f>IF(D31="","",VLOOKUP(D31,
{0,240;101,260;126,280;151,300;176,320;201,340;226,360;251,380;276,400;301,420;326,440;351,460;376,480},
2,TRUE)
+IF(WEEKDAY(B31,2)=7,48,0))</f>
        <v/>
      </c>
      <c r="F31" s="17" t="n"/>
      <c r="G31" s="18" t="n"/>
      <c r="H31" s="15">
        <f>IF(OR(F31="",G31="",F31=0),"",G31/F31)</f>
        <v/>
      </c>
      <c r="I31" s="31">
        <f>IF(H31=1,20,IF(AND(H31&gt;=98%,H31&lt;100%),10,0))</f>
        <v/>
      </c>
      <c r="J31" s="32">
        <f>E31+I31</f>
        <v/>
      </c>
      <c r="K31" s="1" t="n"/>
      <c r="L31" s="58">
        <f>COUNTIF(D4:D19,"&gt;0")</f>
        <v/>
      </c>
      <c r="N31" s="1" t="n"/>
      <c r="O31" s="35" t="n"/>
      <c r="P31" s="35" t="n"/>
      <c r="Q31" s="33" t="n"/>
      <c r="R31" s="33" t="n"/>
      <c r="S31" s="34">
        <f>O31+P31+Q31+R31</f>
        <v/>
      </c>
      <c r="T31" s="1" t="n"/>
      <c r="U31" s="43">
        <f>SUM(J31-S31)</f>
        <v/>
      </c>
      <c r="V31" s="44" t="n"/>
      <c r="W31" s="2" t="n"/>
    </row>
    <row r="32" ht="15.75" customHeight="1" s="45">
      <c r="B32" s="30" t="n">
        <v>46287</v>
      </c>
      <c r="C32" s="12">
        <f>IF(B32="","",TEXT(WEEKDAY(B32),"dddd"))</f>
        <v/>
      </c>
      <c r="D32" s="16" t="n"/>
      <c r="E32" s="13">
        <f>IF(D32="","",VLOOKUP(D32,
{0,240;101,260;126,280;151,300;176,320;201,340;226,360;251,380;276,400;301,420;326,440;351,460;376,480},
2,TRUE)
+IF(WEEKDAY(B32,2)=7,48,0))</f>
        <v/>
      </c>
      <c r="F32" s="17" t="n"/>
      <c r="G32" s="18" t="n"/>
      <c r="H32" s="15">
        <f>IF(OR(F32="",G32="",F32=0),"",G32/F32)</f>
        <v/>
      </c>
      <c r="I32" s="31">
        <f>IF(H32=1,20,IF(AND(H32&gt;=98%,H32&lt;100%),10,0))</f>
        <v/>
      </c>
      <c r="J32" s="32">
        <f>E32+I32</f>
        <v/>
      </c>
      <c r="K32" s="1" t="n"/>
      <c r="L32" s="66" t="inlineStr">
        <is>
          <t>2ª bônus 600</t>
        </is>
      </c>
      <c r="M32" s="56" t="n"/>
      <c r="N32" s="1" t="n"/>
      <c r="O32" s="35" t="n"/>
      <c r="P32" s="35" t="n"/>
      <c r="Q32" s="33" t="n"/>
      <c r="R32" s="33" t="n"/>
      <c r="S32" s="34">
        <f>O32+P32+Q32+R32</f>
        <v/>
      </c>
      <c r="T32" s="1" t="n"/>
      <c r="U32" s="43">
        <f>SUM(J32-S32)</f>
        <v/>
      </c>
      <c r="V32" s="44" t="n"/>
      <c r="W32" s="2" t="n"/>
    </row>
    <row r="33" ht="15.75" customHeight="1" s="45">
      <c r="B33" s="30" t="n">
        <v>46288</v>
      </c>
      <c r="C33" s="12">
        <f>IF(B33="","",TEXT(WEEKDAY(B33),"dddd"))</f>
        <v/>
      </c>
      <c r="D33" s="16" t="n"/>
      <c r="E33" s="13">
        <f>IF(D33="","",VLOOKUP(D33,
{0,240;101,260;126,280;151,300;176,320;201,340;226,360;251,380;276,400;301,420;326,440;351,460;376,480},
2,TRUE)
+IF(WEEKDAY(B33,2)=7,48,0))</f>
        <v/>
      </c>
      <c r="F33" s="17" t="n"/>
      <c r="G33" s="18" t="n"/>
      <c r="H33" s="15">
        <f>IF(OR(F33="",G33="",F33=0),"",G33/F33)</f>
        <v/>
      </c>
      <c r="I33" s="31">
        <f>IF(H33=1,20,IF(AND(H33&gt;=98%,H33&lt;100%),10,0))</f>
        <v/>
      </c>
      <c r="J33" s="32">
        <f>E33+I33</f>
        <v/>
      </c>
      <c r="K33" s="1" t="n"/>
      <c r="L33" s="53" t="n"/>
      <c r="M33" s="54" t="n"/>
      <c r="N33" s="1" t="n"/>
      <c r="O33" s="35" t="n"/>
      <c r="P33" s="35" t="n"/>
      <c r="Q33" s="33" t="n"/>
      <c r="R33" s="33" t="n"/>
      <c r="S33" s="34">
        <f>O33+P33+Q33+R33</f>
        <v/>
      </c>
      <c r="T33" s="1" t="n"/>
      <c r="U33" s="43">
        <f>SUM(J33-S33)</f>
        <v/>
      </c>
      <c r="V33" s="44" t="n"/>
      <c r="W33" s="2" t="n"/>
    </row>
    <row r="34" ht="15.75" customHeight="1" s="45">
      <c r="B34" s="30" t="n">
        <v>46289</v>
      </c>
      <c r="C34" s="12">
        <f>IF(B34="","",TEXT(WEEKDAY(B34),"dddd"))</f>
        <v/>
      </c>
      <c r="D34" s="16" t="n"/>
      <c r="E34" s="13">
        <f>IF(D34="","",VLOOKUP(D34,
{0,240;101,260;126,280;151,300;176,320;201,340;226,360;251,380;276,400;301,420;326,440;351,460;376,480},
2,TRUE)
+IF(WEEKDAY(B34,2)=7,48,0))</f>
        <v/>
      </c>
      <c r="F34" s="17" t="n"/>
      <c r="G34" s="18" t="n"/>
      <c r="H34" s="15">
        <f>IF(OR(F34="",G34="",F34=0),"",G34/F34)</f>
        <v/>
      </c>
      <c r="I34" s="31">
        <f>IF(H34=1,20,IF(AND(H34&gt;=98%,H34&lt;100%),10,0))</f>
        <v/>
      </c>
      <c r="J34" s="32">
        <f>E34+I34</f>
        <v/>
      </c>
      <c r="K34" s="1" t="n"/>
      <c r="L34" s="55">
        <f>IF(OR(F38="",G38="",F38=0),"",G38/F38)</f>
        <v/>
      </c>
      <c r="M34" s="56" t="n"/>
      <c r="N34" s="1" t="n"/>
      <c r="O34" s="35" t="n"/>
      <c r="P34" s="35" t="n"/>
      <c r="Q34" s="33" t="n"/>
      <c r="R34" s="33" t="n"/>
      <c r="S34" s="34">
        <f>O34+P34+Q34+R34</f>
        <v/>
      </c>
      <c r="T34" s="1" t="n"/>
      <c r="U34" s="43">
        <f>SUM(J34-S34)</f>
        <v/>
      </c>
      <c r="V34" s="44" t="n"/>
      <c r="W34" s="2" t="n"/>
    </row>
    <row r="35" ht="15.75" customHeight="1" s="45">
      <c r="B35" s="30" t="n">
        <v>46290</v>
      </c>
      <c r="C35" s="12">
        <f>IF(B35="","",TEXT(WEEKDAY(B35),"dddd"))</f>
        <v/>
      </c>
      <c r="D35" s="16" t="n"/>
      <c r="E35" s="13">
        <f>IF(D35="","",VLOOKUP(D35,
{0,240;101,260;126,280;151,300;176,320;201,340;226,360;251,380;276,400;301,420;326,440;351,460;376,480},
2,TRUE)
+IF(WEEKDAY(B35,2)=7,48,0))</f>
        <v/>
      </c>
      <c r="F35" s="26" t="n"/>
      <c r="G35" s="27" t="n"/>
      <c r="H35" s="15">
        <f>IF(OR(F35="",G35="",F35=0),"",G35/F35)</f>
        <v/>
      </c>
      <c r="I35" s="31">
        <f>IF(H35=1,20,IF(AND(H35&gt;=98%,H35&lt;100%),10,0))</f>
        <v/>
      </c>
      <c r="J35" s="32">
        <f>E35+I35</f>
        <v/>
      </c>
      <c r="K35" s="1" t="n"/>
      <c r="L35" s="53" t="n"/>
      <c r="M35" s="54" t="n"/>
      <c r="N35" s="1" t="n"/>
      <c r="O35" s="35" t="n"/>
      <c r="P35" s="35" t="n"/>
      <c r="Q35" s="33" t="n"/>
      <c r="R35" s="33" t="n"/>
      <c r="S35" s="34">
        <f>O35+P35+Q35+R35</f>
        <v/>
      </c>
      <c r="T35" s="1" t="n"/>
      <c r="U35" s="43">
        <f>SUM(J35-S35)</f>
        <v/>
      </c>
      <c r="V35" s="44" t="n"/>
      <c r="W35" s="2" t="n"/>
    </row>
    <row r="36" ht="15.75" customHeight="1" s="4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69">
        <f>COUNTIF(D21:D35,"&gt;0")</f>
        <v/>
      </c>
      <c r="N36" s="1" t="n"/>
      <c r="O36" s="1" t="n"/>
      <c r="P36" s="1" t="n"/>
      <c r="Q36" s="1" t="n"/>
      <c r="R36" s="1" t="n"/>
      <c r="S36" s="1" t="n"/>
      <c r="T36" s="1" t="n"/>
      <c r="U36" s="65" t="n"/>
      <c r="V36" s="44" t="n"/>
      <c r="W36" s="2" t="n"/>
    </row>
    <row r="37" ht="15.75" customHeight="1" s="45">
      <c r="F37" s="28">
        <f>SUM(F4:F19)</f>
        <v/>
      </c>
      <c r="G37" s="28">
        <f>SUM(G4:G19)</f>
        <v/>
      </c>
      <c r="J37" s="41">
        <f>SUM(J4:J19)</f>
        <v/>
      </c>
      <c r="L37" s="29" t="n"/>
    </row>
    <row r="38" ht="15.75" customHeight="1" s="45">
      <c r="F38" s="28">
        <f>SUM(F21:F35)</f>
        <v/>
      </c>
      <c r="G38" s="28">
        <f>SUM(G21:G35)</f>
        <v/>
      </c>
      <c r="J38" s="41">
        <f>SUM(J21:J35)</f>
        <v/>
      </c>
    </row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  <row r="1001" ht="15.75" customHeight="1" s="45"/>
  </sheetData>
  <mergeCells count="85">
    <mergeCell ref="U31:V31"/>
    <mergeCell ref="U40:V40"/>
    <mergeCell ref="U15:V15"/>
    <mergeCell ref="U65:V65"/>
    <mergeCell ref="L22:M23"/>
    <mergeCell ref="L13:M15"/>
    <mergeCell ref="L34:M35"/>
    <mergeCell ref="L6:M7"/>
    <mergeCell ref="L19:M21"/>
    <mergeCell ref="U16:V16"/>
    <mergeCell ref="U57:V57"/>
    <mergeCell ref="U33:V33"/>
    <mergeCell ref="U28:V28"/>
    <mergeCell ref="U42:V42"/>
    <mergeCell ref="L31:M31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A4:A19"/>
    <mergeCell ref="U48:V48"/>
    <mergeCell ref="U32:V32"/>
    <mergeCell ref="L11:M12"/>
    <mergeCell ref="U41:V41"/>
    <mergeCell ref="U13:V13"/>
    <mergeCell ref="U7:V7"/>
    <mergeCell ref="U47:V47"/>
    <mergeCell ref="U56:V56"/>
    <mergeCell ref="U43:V43"/>
    <mergeCell ref="U24:V24"/>
    <mergeCell ref="U18:V18"/>
    <mergeCell ref="U58:V58"/>
    <mergeCell ref="U8:V8"/>
    <mergeCell ref="U63:V63"/>
    <mergeCell ref="U10:V10"/>
    <mergeCell ref="U50:V50"/>
    <mergeCell ref="U19:V19"/>
    <mergeCell ref="U44:V44"/>
    <mergeCell ref="U34:V34"/>
    <mergeCell ref="U9:V9"/>
    <mergeCell ref="U49:V49"/>
    <mergeCell ref="L1:M2"/>
    <mergeCell ref="U36:V36"/>
    <mergeCell ref="U30:V30"/>
    <mergeCell ref="U45:V45"/>
    <mergeCell ref="L27:M28"/>
    <mergeCell ref="U37:V37"/>
    <mergeCell ref="A21:A35"/>
    <mergeCell ref="U12:V12"/>
    <mergeCell ref="L17:M18"/>
    <mergeCell ref="U21:V21"/>
    <mergeCell ref="U62:V62"/>
    <mergeCell ref="U55:V55"/>
    <mergeCell ref="L3:M4"/>
    <mergeCell ref="U64:V64"/>
    <mergeCell ref="U51:V51"/>
    <mergeCell ref="U1:V3"/>
    <mergeCell ref="U26:V26"/>
    <mergeCell ref="U35:V35"/>
    <mergeCell ref="L29:M30"/>
    <mergeCell ref="U27:V27"/>
    <mergeCell ref="U17:V17"/>
    <mergeCell ref="U11:V11"/>
    <mergeCell ref="U25:V25"/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</mergeCells>
  <conditionalFormatting sqref="C4:C35">
    <cfRule type="beginsWith" priority="1" operator="beginsWith" dxfId="0" text="d">
      <formula>LEFT((C4),LEN("d"))=("d")</formula>
    </cfRule>
  </conditionalFormatting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67"/>
  <sheetViews>
    <sheetView workbookViewId="0">
      <selection activeCell="A1" sqref="A1"/>
    </sheetView>
  </sheetViews>
  <sheetFormatPr baseColWidth="8" defaultColWidth="12.5703125" defaultRowHeight="15" customHeight="1"/>
  <cols>
    <col width="8.7109375" customWidth="1" style="45" min="1" max="1"/>
    <col width="12.5703125" customWidth="1" style="45" min="2" max="4"/>
    <col width="12.7109375" customWidth="1" style="45" min="5" max="5"/>
    <col width="12.5703125" customWidth="1" style="45" min="6" max="6"/>
    <col width="4.42578125" customWidth="1" style="45" min="11" max="11"/>
    <col width="4.140625" customWidth="1" style="45" min="14" max="14"/>
    <col width="4.28515625" customWidth="1" style="45" min="20" max="20"/>
    <col width="4.140625" customWidth="1" style="45" min="23" max="23"/>
  </cols>
  <sheetData>
    <row r="1" ht="15.75" customHeight="1" s="45">
      <c r="A1" s="1" t="n"/>
      <c r="B1" s="1" t="n"/>
      <c r="C1" s="68" t="inlineStr">
        <is>
          <t>planilha de ganhos Ac2</t>
        </is>
      </c>
      <c r="D1" s="62" t="n"/>
      <c r="E1" s="62" t="n"/>
      <c r="F1" s="62" t="n"/>
      <c r="G1" s="62" t="n"/>
      <c r="H1" s="47" t="n"/>
      <c r="I1" s="1" t="n"/>
      <c r="J1" s="1" t="n"/>
      <c r="K1" s="1" t="n"/>
      <c r="L1" s="46" t="inlineStr">
        <is>
          <t>1ª Quizena</t>
        </is>
      </c>
      <c r="M1" s="47" t="n"/>
      <c r="N1" s="1" t="n"/>
      <c r="O1" s="61" t="inlineStr">
        <is>
          <t>Gastos</t>
        </is>
      </c>
      <c r="P1" s="62" t="n"/>
      <c r="Q1" s="62" t="n"/>
      <c r="R1" s="62" t="n"/>
      <c r="S1" s="47" t="n"/>
      <c r="T1" s="1" t="n"/>
      <c r="U1" s="67" t="inlineStr">
        <is>
          <t>lucro diario</t>
        </is>
      </c>
      <c r="V1" s="56" t="n"/>
      <c r="W1" s="2" t="n"/>
    </row>
    <row r="2" ht="15.75" customHeight="1" s="45">
      <c r="A2" s="1" t="n"/>
      <c r="B2" s="1" t="n"/>
      <c r="C2" s="48" t="n"/>
      <c r="D2" s="63" t="n"/>
      <c r="E2" s="63" t="n"/>
      <c r="F2" s="63" t="n"/>
      <c r="G2" s="63" t="n"/>
      <c r="H2" s="49" t="n"/>
      <c r="I2" s="1" t="n"/>
      <c r="J2" s="1" t="n"/>
      <c r="K2" s="1" t="n"/>
      <c r="L2" s="48" t="n"/>
      <c r="M2" s="49" t="n"/>
      <c r="N2" s="1" t="n"/>
      <c r="O2" s="48" t="n"/>
      <c r="P2" s="63" t="n"/>
      <c r="Q2" s="63" t="n"/>
      <c r="R2" s="63" t="n"/>
      <c r="S2" s="49" t="n"/>
      <c r="T2" s="1" t="n"/>
      <c r="U2" s="52" t="n"/>
      <c r="V2" s="51" t="n"/>
      <c r="W2" s="2" t="n"/>
    </row>
    <row r="3" ht="15.75" customHeight="1" s="45">
      <c r="A3" s="3" t="n"/>
      <c r="B3" s="4" t="inlineStr">
        <is>
          <t>Data</t>
        </is>
      </c>
      <c r="C3" s="5" t="inlineStr">
        <is>
          <t>Dia semana</t>
        </is>
      </c>
      <c r="D3" s="6" t="inlineStr">
        <is>
          <t>Km executado</t>
        </is>
      </c>
      <c r="E3" s="5" t="inlineStr">
        <is>
          <t>R$ Diaria</t>
        </is>
      </c>
      <c r="F3" s="5" t="inlineStr">
        <is>
          <t>Qtd. Pacotes</t>
        </is>
      </c>
      <c r="G3" s="5" t="inlineStr">
        <is>
          <t xml:space="preserve">Qtd.entregas </t>
        </is>
      </c>
      <c r="H3" s="5" t="inlineStr">
        <is>
          <t>% de Entrega</t>
        </is>
      </c>
      <c r="I3" s="7" t="inlineStr">
        <is>
          <t>bônus 1</t>
        </is>
      </c>
      <c r="J3" s="8" t="inlineStr">
        <is>
          <t>Total</t>
        </is>
      </c>
      <c r="K3" s="1" t="n"/>
      <c r="L3" s="50">
        <f>J37+IF(AND(L31&gt;=13,L29&gt;=98%,L29&lt;=100%),600,0)</f>
        <v/>
      </c>
      <c r="M3" s="51" t="n"/>
      <c r="N3" s="1" t="n"/>
      <c r="O3" s="9" t="inlineStr">
        <is>
          <t>Gasolina</t>
        </is>
      </c>
      <c r="P3" s="9" t="inlineStr">
        <is>
          <t xml:space="preserve">Almoço </t>
        </is>
      </c>
      <c r="Q3" s="10" t="inlineStr">
        <is>
          <t xml:space="preserve">Besteira </t>
        </is>
      </c>
      <c r="R3" s="10" t="inlineStr">
        <is>
          <t>Carro</t>
        </is>
      </c>
      <c r="S3" s="11" t="inlineStr">
        <is>
          <t>Total</t>
        </is>
      </c>
      <c r="T3" s="1" t="n"/>
      <c r="U3" s="53" t="n"/>
      <c r="V3" s="54" t="n"/>
      <c r="W3" s="2" t="n"/>
    </row>
    <row r="4" ht="15.75" customHeight="1" s="45">
      <c r="A4" s="64" t="n">
        <v>1</v>
      </c>
      <c r="B4" s="30" t="n">
        <v>46291</v>
      </c>
      <c r="C4" s="12">
        <f>IF(B4="","",TEXT(WEEKDAY(B4),"dddd"))</f>
        <v/>
      </c>
      <c r="D4" s="16" t="n"/>
      <c r="E4" s="13">
        <f>IF(D4="","",VLOOKUP(D4,
{0,240;101,260;126,280;151,300;176,320;201,340;226,360;251,380;276,400;301,420;326,440;351,460;376,480},
2,TRUE)
+IF(WEEKDAY(B4,2)=7,48,0))</f>
        <v/>
      </c>
      <c r="F4" s="14" t="n"/>
      <c r="G4" s="18" t="n"/>
      <c r="H4" s="15">
        <f>IF(OR(F4="",G4="",F4=0),"",G4/F4)</f>
        <v/>
      </c>
      <c r="I4" s="31">
        <f>IF(H4=1,20,IF(AND(H4&gt;=98%,H4&lt;100%),10,0))</f>
        <v/>
      </c>
      <c r="J4" s="32">
        <f>E4+I4</f>
        <v/>
      </c>
      <c r="K4" s="1" t="n"/>
      <c r="L4" s="53" t="n"/>
      <c r="M4" s="54" t="n"/>
      <c r="N4" s="1" t="n"/>
      <c r="O4" s="33" t="n"/>
      <c r="P4" s="33" t="n"/>
      <c r="Q4" s="33" t="n"/>
      <c r="R4" s="33" t="n"/>
      <c r="S4" s="34">
        <f>O4+P4+Q4+R4</f>
        <v/>
      </c>
      <c r="T4" s="1" t="n"/>
      <c r="U4" s="43">
        <f>SUM(J4-S4)</f>
        <v/>
      </c>
      <c r="V4" s="44" t="n"/>
      <c r="W4" s="2" t="n"/>
    </row>
    <row r="5" ht="15.75" customHeight="1" s="45">
      <c r="B5" s="30" t="n">
        <v>46292</v>
      </c>
      <c r="C5" s="12">
        <f>IF(B5="","",TEXT(WEEKDAY(B5),"dddd"))</f>
        <v/>
      </c>
      <c r="D5" s="16" t="n"/>
      <c r="E5" s="13">
        <f>IF(D5="","",VLOOKUP(D5,
{0,240;101,260;126,280;151,300;176,320;201,340;226,360;251,380;276,400;301,420;326,440;351,460;376,480},
2,TRUE)
+IF(WEEKDAY(B5,2)=7,48,0))</f>
        <v/>
      </c>
      <c r="F5" s="17" t="n"/>
      <c r="G5" s="18" t="n"/>
      <c r="H5" s="15">
        <f>IF(OR(F5="",G5="",F5=0),"",G5/F5)</f>
        <v/>
      </c>
      <c r="I5" s="31">
        <f>IF(H5=1,20,IF(AND(H5&gt;=98%,H5&lt;100%),10,0))</f>
        <v/>
      </c>
      <c r="J5" s="32">
        <f>E5+I5</f>
        <v/>
      </c>
      <c r="K5" s="1" t="n"/>
      <c r="L5" s="1" t="n"/>
      <c r="M5" s="1" t="n"/>
      <c r="N5" s="1" t="n"/>
      <c r="O5" s="35" t="n"/>
      <c r="P5" s="35" t="n"/>
      <c r="Q5" s="33" t="n"/>
      <c r="R5" s="33" t="n"/>
      <c r="S5" s="34">
        <f>O5+P5+Q5+R5</f>
        <v/>
      </c>
      <c r="T5" s="1" t="n"/>
      <c r="U5" s="43">
        <f>SUM(J5-S5)</f>
        <v/>
      </c>
      <c r="V5" s="44" t="n"/>
      <c r="W5" s="2" t="n"/>
    </row>
    <row r="6" ht="15.75" customHeight="1" s="45">
      <c r="B6" s="30" t="n">
        <v>46293</v>
      </c>
      <c r="C6" s="12">
        <f>IF(B6="","",TEXT(WEEKDAY(B6),"dddd"))</f>
        <v/>
      </c>
      <c r="D6" s="16" t="n"/>
      <c r="E6" s="13">
        <f>IF(D6="","",VLOOKUP(D6,
{0,240;101,260;126,280;151,300;176,320;201,340;226,360;251,380;276,400;301,420;326,440;351,460;376,480},
2,TRUE)
+IF(WEEKDAY(B6,2)=7,48,0))</f>
        <v/>
      </c>
      <c r="F6" s="17" t="n"/>
      <c r="G6" s="18" t="n"/>
      <c r="H6" s="15">
        <f>IF(OR(F6="",G6="",F6=0),"",G6/F6)</f>
        <v/>
      </c>
      <c r="I6" s="31">
        <f>IF(H6=1,20,IF(AND(H6&gt;=98%,H6&lt;100%),10,0))</f>
        <v/>
      </c>
      <c r="J6" s="32">
        <f>E6+I6</f>
        <v/>
      </c>
      <c r="K6" s="1" t="n"/>
      <c r="L6" s="46" t="inlineStr">
        <is>
          <t>2ª Quizena</t>
        </is>
      </c>
      <c r="M6" s="47" t="n"/>
      <c r="N6" s="1" t="n"/>
      <c r="O6" s="35" t="n"/>
      <c r="P6" s="35" t="n"/>
      <c r="Q6" s="33" t="n"/>
      <c r="R6" s="33" t="n"/>
      <c r="S6" s="34">
        <f>O6+P6+Q6+R6</f>
        <v/>
      </c>
      <c r="T6" s="1" t="n"/>
      <c r="U6" s="43">
        <f>SUM(J6-S6)</f>
        <v/>
      </c>
      <c r="V6" s="44" t="n"/>
      <c r="W6" s="2" t="n"/>
    </row>
    <row r="7" ht="15.75" customHeight="1" s="45">
      <c r="B7" s="30" t="n">
        <v>46294</v>
      </c>
      <c r="C7" s="12">
        <f>IF(B7="","",TEXT(WEEKDAY(B7),"dddd"))</f>
        <v/>
      </c>
      <c r="D7" s="16" t="n"/>
      <c r="E7" s="13">
        <f>IF(D7="","",VLOOKUP(D7,
{0,240;101,260;126,280;151,300;176,320;201,340;226,360;251,380;276,400;301,420;326,440;351,460;376,480},
2,TRUE)
+IF(WEEKDAY(B7,2)=7,48,0))</f>
        <v/>
      </c>
      <c r="F7" s="17" t="n"/>
      <c r="G7" s="18" t="n"/>
      <c r="H7" s="15">
        <f>IF(OR(F7="",G7="",F7=0),"",G7/F7)</f>
        <v/>
      </c>
      <c r="I7" s="31">
        <f>IF(H7=1,20,IF(AND(H7&gt;=98%,H7&lt;100%),10,0))</f>
        <v/>
      </c>
      <c r="J7" s="32">
        <f>E7+I7</f>
        <v/>
      </c>
      <c r="K7" s="1" t="n"/>
      <c r="L7" s="48" t="n"/>
      <c r="M7" s="49" t="n"/>
      <c r="N7" s="1" t="n"/>
      <c r="O7" s="35" t="n"/>
      <c r="P7" s="35" t="n"/>
      <c r="Q7" s="33" t="n"/>
      <c r="R7" s="33" t="n"/>
      <c r="S7" s="34">
        <f>O7+P7+Q7+R7</f>
        <v/>
      </c>
      <c r="T7" s="1" t="n"/>
      <c r="U7" s="43">
        <f>SUM(J7-S7)</f>
        <v/>
      </c>
      <c r="V7" s="44" t="n"/>
      <c r="W7" s="2" t="n"/>
    </row>
    <row r="8" ht="15.75" customHeight="1" s="45">
      <c r="B8" s="30" t="n">
        <v>46295</v>
      </c>
      <c r="C8" s="12">
        <f>IF(B8="","",TEXT(WEEKDAY(B8),"dddd"))</f>
        <v/>
      </c>
      <c r="D8" s="16" t="n"/>
      <c r="E8" s="13">
        <f>IF(D8="","",VLOOKUP(D8,
{0,240;101,260;126,280;151,300;176,320;201,340;226,360;251,380;276,400;301,420;326,440;351,460;376,480},
2,TRUE)
+IF(WEEKDAY(B8,2)=7,48,0))</f>
        <v/>
      </c>
      <c r="F8" s="17" t="n"/>
      <c r="G8" s="18" t="n"/>
      <c r="H8" s="15">
        <f>IF(OR(F8="",G8="",F8=0),"",G8/F8)</f>
        <v/>
      </c>
      <c r="I8" s="31">
        <f>IF(H8=1,20,IF(AND(H8&gt;=98%,H8&lt;100%),10,0))</f>
        <v/>
      </c>
      <c r="J8" s="32">
        <f>E8+I8</f>
        <v/>
      </c>
      <c r="K8" s="1" t="n"/>
      <c r="L8" s="50">
        <f>J38+IF(AND(L36&gt;=13,L29&gt;=98%,L29&lt;=100%),600,0)</f>
        <v/>
      </c>
      <c r="M8" s="51" t="n"/>
      <c r="N8" s="1" t="n"/>
      <c r="O8" s="35" t="n"/>
      <c r="P8" s="35" t="n"/>
      <c r="Q8" s="33" t="n"/>
      <c r="R8" s="33" t="n"/>
      <c r="S8" s="34">
        <f>O8+P8+Q8+R8</f>
        <v/>
      </c>
      <c r="T8" s="1" t="n"/>
      <c r="U8" s="43">
        <f>SUM(J8-S8)</f>
        <v/>
      </c>
      <c r="V8" s="44" t="n"/>
      <c r="W8" s="2" t="n"/>
    </row>
    <row r="9" ht="15.75" customHeight="1" s="45">
      <c r="B9" s="30" t="n">
        <v>46296</v>
      </c>
      <c r="C9" s="12">
        <f>IF(B9="","",TEXT(WEEKDAY(B9),"dddd"))</f>
        <v/>
      </c>
      <c r="D9" s="16" t="n"/>
      <c r="E9" s="13">
        <f>IF(D9="","",VLOOKUP(D9,
{0,240;101,260;126,280;151,300;176,320;201,340;226,360;251,380;276,400;301,420;326,440;351,460;376,480},
2,TRUE)
+IF(WEEKDAY(B9,2)=7,48,0))</f>
        <v/>
      </c>
      <c r="F9" s="17" t="n"/>
      <c r="G9" s="18" t="n"/>
      <c r="H9" s="15">
        <f>IF(OR(F9="",G9="",F9=0),"",G9/F9)</f>
        <v/>
      </c>
      <c r="I9" s="31">
        <f>IF(H9=1,20,IF(AND(H9&gt;=98%,H9&lt;100%),10,0))</f>
        <v/>
      </c>
      <c r="J9" s="32">
        <f>E9+I9</f>
        <v/>
      </c>
      <c r="K9" s="1" t="n"/>
      <c r="L9" s="53" t="n"/>
      <c r="M9" s="54" t="n"/>
      <c r="N9" s="1" t="n"/>
      <c r="O9" s="35" t="n"/>
      <c r="P9" s="35" t="n"/>
      <c r="Q9" s="33" t="n"/>
      <c r="R9" s="33" t="n"/>
      <c r="S9" s="34">
        <f>O9+P9+Q9+R9</f>
        <v/>
      </c>
      <c r="T9" s="1" t="n"/>
      <c r="U9" s="43">
        <f>SUM(J9-S9)</f>
        <v/>
      </c>
      <c r="V9" s="44" t="n"/>
      <c r="W9" s="2" t="n"/>
    </row>
    <row r="10" ht="15.75" customHeight="1" s="45">
      <c r="B10" s="30" t="n">
        <v>46297</v>
      </c>
      <c r="C10" s="12">
        <f>IF(B10="","",TEXT(WEEKDAY(B10),"dddd"))</f>
        <v/>
      </c>
      <c r="D10" s="16" t="n"/>
      <c r="E10" s="13">
        <f>IF(D10="","",VLOOKUP(D10,
{0,240;101,260;126,280;151,300;176,320;201,340;226,360;251,380;276,400;301,420;326,440;351,460;376,480},
2,TRUE)
+IF(WEEKDAY(B10,2)=7,48,0))</f>
        <v/>
      </c>
      <c r="F10" s="17" t="n"/>
      <c r="G10" s="18" t="n"/>
      <c r="H10" s="15">
        <f>IF(OR(F10="",G10="",F10=0),"",G10/F10)</f>
        <v/>
      </c>
      <c r="I10" s="31">
        <f>IF(H10=1,20,IF(AND(H10&gt;=98%,H10&lt;100%),10,0))</f>
        <v/>
      </c>
      <c r="J10" s="32">
        <f>E10+I10</f>
        <v/>
      </c>
      <c r="K10" s="1" t="n"/>
      <c r="L10" s="1" t="n"/>
      <c r="M10" s="1" t="n"/>
      <c r="N10" s="1" t="n"/>
      <c r="O10" s="35" t="n"/>
      <c r="P10" s="35" t="n"/>
      <c r="Q10" s="33" t="n"/>
      <c r="R10" s="33" t="n"/>
      <c r="S10" s="34">
        <f>O10+P10+Q10+R10</f>
        <v/>
      </c>
      <c r="T10" s="1" t="n"/>
      <c r="U10" s="43">
        <f>SUM(J10-S10)</f>
        <v/>
      </c>
      <c r="V10" s="44" t="n"/>
      <c r="W10" s="2" t="n"/>
    </row>
    <row r="11" ht="15.75" customHeight="1" s="45">
      <c r="B11" s="30" t="n">
        <v>46298</v>
      </c>
      <c r="C11" s="12">
        <f>IF(B11="","",TEXT(WEEKDAY(B11),"dddd"))</f>
        <v/>
      </c>
      <c r="D11" s="16" t="n"/>
      <c r="E11" s="13">
        <f>IF(D11="","",VLOOKUP(D11,
{0,240;101,260;126,280;151,300;176,320;201,340;226,360;251,380;276,400;301,420;326,440;351,460;376,480},
2,TRUE)
+IF(WEEKDAY(B11,2)=7,48,0))</f>
        <v/>
      </c>
      <c r="F11" s="17" t="n"/>
      <c r="G11" s="18" t="n"/>
      <c r="H11" s="15">
        <f>IF(OR(F11="",G11="",F11=0),"",G11/F11)</f>
        <v/>
      </c>
      <c r="I11" s="31">
        <f>IF(H11=1,20,IF(AND(H11&gt;=98%,H11&lt;100%),10,0))</f>
        <v/>
      </c>
      <c r="J11" s="32">
        <f>E11+I11</f>
        <v/>
      </c>
      <c r="K11" s="1" t="n"/>
      <c r="L11" s="46" t="inlineStr">
        <is>
          <t>Total/Ganho</t>
        </is>
      </c>
      <c r="M11" s="47" t="n"/>
      <c r="N11" s="1" t="n"/>
      <c r="O11" s="35" t="n"/>
      <c r="P11" s="35" t="n"/>
      <c r="Q11" s="33" t="n"/>
      <c r="R11" s="33" t="n"/>
      <c r="S11" s="34">
        <f>O11+P11+Q11+R11</f>
        <v/>
      </c>
      <c r="T11" s="1" t="n"/>
      <c r="U11" s="43">
        <f>SUM(J11-S11)</f>
        <v/>
      </c>
      <c r="V11" s="44" t="n"/>
      <c r="W11" s="2" t="n"/>
    </row>
    <row r="12" ht="15.75" customHeight="1" s="45">
      <c r="B12" s="30" t="n">
        <v>46299</v>
      </c>
      <c r="C12" s="12">
        <f>IF(B12="","",TEXT(WEEKDAY(B12),"dddd"))</f>
        <v/>
      </c>
      <c r="D12" s="16" t="n"/>
      <c r="E12" s="13">
        <f>IF(D12="","",VLOOKUP(D12,
{0,240;101,260;126,280;151,300;176,320;201,340;226,360;251,380;276,400;301,420;326,440;351,460;376,480},
2,TRUE)
+IF(WEEKDAY(B12,2)=7,48,0))</f>
        <v/>
      </c>
      <c r="F12" s="17" t="n"/>
      <c r="G12" s="18" t="n"/>
      <c r="H12" s="15">
        <f>IF(OR(F12="",G12="",F12=0),"",G12/F12)</f>
        <v/>
      </c>
      <c r="I12" s="31">
        <f>IF(H12=1,20,IF(AND(H12&gt;=98%,H12&lt;100%),10,0))</f>
        <v/>
      </c>
      <c r="J12" s="32">
        <f>E12+I12</f>
        <v/>
      </c>
      <c r="K12" s="1" t="n"/>
      <c r="L12" s="48" t="n"/>
      <c r="M12" s="49" t="n"/>
      <c r="N12" s="1" t="n"/>
      <c r="O12" s="35" t="n"/>
      <c r="P12" s="35" t="n"/>
      <c r="Q12" s="33" t="n"/>
      <c r="R12" s="33" t="n"/>
      <c r="S12" s="34">
        <f>O12+P12+Q12+R12</f>
        <v/>
      </c>
      <c r="T12" s="1" t="n"/>
      <c r="U12" s="43">
        <f>SUM(J12-S12)</f>
        <v/>
      </c>
      <c r="V12" s="44" t="n"/>
      <c r="W12" s="2" t="n"/>
    </row>
    <row r="13" ht="15.75" customHeight="1" s="45">
      <c r="B13" s="30" t="n">
        <v>46300</v>
      </c>
      <c r="C13" s="12">
        <f>IF(B13="","",TEXT(WEEKDAY(B13),"dddd"))</f>
        <v/>
      </c>
      <c r="D13" s="16" t="n"/>
      <c r="E13" s="13">
        <f>IF(D13="","",VLOOKUP(D13,
{0,240;101,260;126,280;151,300;176,320;201,340;226,360;251,380;276,400;301,420;326,440;351,460;376,480},
2,TRUE)
+IF(WEEKDAY(B13,2)=7,48,0))</f>
        <v/>
      </c>
      <c r="F13" s="17" t="n"/>
      <c r="G13" s="18" t="n"/>
      <c r="H13" s="15">
        <f>IF(OR(F13="",G13="",F13=0),"",G13/F13)</f>
        <v/>
      </c>
      <c r="I13" s="31">
        <f>IF(H13=1,20,IF(AND(H13&gt;=98%,H13&lt;100%),10,0))</f>
        <v/>
      </c>
      <c r="J13" s="32">
        <f>E13+I13</f>
        <v/>
      </c>
      <c r="K13" s="1" t="n"/>
      <c r="L13" s="50">
        <f>SUM(L3+L8)</f>
        <v/>
      </c>
      <c r="M13" s="51" t="n"/>
      <c r="N13" s="1" t="n"/>
      <c r="O13" s="35" t="n"/>
      <c r="P13" s="35" t="n"/>
      <c r="Q13" s="33" t="n"/>
      <c r="R13" s="33" t="n"/>
      <c r="S13" s="34">
        <f>O13+P13+Q13+R13</f>
        <v/>
      </c>
      <c r="T13" s="1" t="n"/>
      <c r="U13" s="43">
        <f>SUM(J13-S13)</f>
        <v/>
      </c>
      <c r="V13" s="44" t="n"/>
      <c r="W13" s="2" t="n"/>
    </row>
    <row r="14" ht="15.75" customHeight="1" s="45">
      <c r="B14" s="30" t="n">
        <v>46301</v>
      </c>
      <c r="C14" s="12">
        <f>IF(B14="","",TEXT(WEEKDAY(B14),"dddd"))</f>
        <v/>
      </c>
      <c r="D14" s="16" t="n"/>
      <c r="E14" s="13">
        <f>IF(D14="","",VLOOKUP(D14,
{0,240;101,260;126,280;151,300;176,320;201,340;226,360;251,380;276,400;301,420;326,440;351,460;376,480},
2,TRUE)
+IF(WEEKDAY(B14,2)=7,48,0))</f>
        <v/>
      </c>
      <c r="F14" s="17" t="n"/>
      <c r="G14" s="18" t="n"/>
      <c r="H14" s="15">
        <f>IF(OR(F14="",G14="",F14=0),"",G14/F14)</f>
        <v/>
      </c>
      <c r="I14" s="31">
        <f>IF(H14=1,20,IF(AND(H14&gt;=98%,H14&lt;100%),10,0))</f>
        <v/>
      </c>
      <c r="J14" s="32">
        <f>E14+I14</f>
        <v/>
      </c>
      <c r="K14" s="1" t="n"/>
      <c r="L14" s="52" t="n"/>
      <c r="M14" s="51" t="n"/>
      <c r="N14" s="1" t="n"/>
      <c r="O14" s="35" t="n"/>
      <c r="P14" s="35" t="n"/>
      <c r="Q14" s="33" t="n"/>
      <c r="R14" s="33" t="n"/>
      <c r="S14" s="34">
        <f>O14+P14+Q14+R14</f>
        <v/>
      </c>
      <c r="T14" s="1" t="n"/>
      <c r="U14" s="43">
        <f>SUM(J14-S14)</f>
        <v/>
      </c>
      <c r="V14" s="44" t="n"/>
      <c r="W14" s="2" t="n"/>
    </row>
    <row r="15" ht="15.75" customHeight="1" s="45">
      <c r="B15" s="30" t="n">
        <v>46302</v>
      </c>
      <c r="C15" s="12">
        <f>IF(B15="","",TEXT(WEEKDAY(B15),"dddd"))</f>
        <v/>
      </c>
      <c r="D15" s="16" t="n"/>
      <c r="E15" s="13">
        <f>IF(D15="","",VLOOKUP(D15,
{0,240;101,260;126,280;151,300;176,320;201,340;226,360;251,380;276,400;301,420;326,440;351,460;376,480},
2,TRUE)
+IF(WEEKDAY(B15,2)=7,48,0))</f>
        <v/>
      </c>
      <c r="F15" s="17" t="n"/>
      <c r="G15" s="18" t="n"/>
      <c r="H15" s="15">
        <f>IF(OR(F15="",G15="",F15=0),"",G15/F15)</f>
        <v/>
      </c>
      <c r="I15" s="31">
        <f>IF(H15=1,20,IF(AND(H15&gt;=98%,H15&lt;100%),10,0))</f>
        <v/>
      </c>
      <c r="J15" s="32">
        <f>E15+I15</f>
        <v/>
      </c>
      <c r="K15" s="1" t="n"/>
      <c r="L15" s="53" t="n"/>
      <c r="M15" s="54" t="n"/>
      <c r="N15" s="1" t="n"/>
      <c r="O15" s="35" t="n"/>
      <c r="P15" s="35" t="n"/>
      <c r="Q15" s="33" t="n"/>
      <c r="R15" s="33" t="n"/>
      <c r="S15" s="34">
        <f>O15+P15+Q15+R15</f>
        <v/>
      </c>
      <c r="T15" s="1" t="n"/>
      <c r="U15" s="43">
        <f>SUM(J15-S15)</f>
        <v/>
      </c>
      <c r="V15" s="44" t="n"/>
      <c r="W15" s="2" t="n"/>
    </row>
    <row r="16" ht="15.75" customHeight="1" s="45">
      <c r="B16" s="30" t="n">
        <v>46303</v>
      </c>
      <c r="C16" s="12">
        <f>IF(B16="","",TEXT(WEEKDAY(B16),"dddd"))</f>
        <v/>
      </c>
      <c r="D16" s="16" t="n"/>
      <c r="E16" s="13">
        <f>IF(D16="","",VLOOKUP(D16,
{0,240;101,260;126,280;151,300;176,320;201,340;226,360;251,380;276,400;301,420;326,440;351,460;376,480},
2,TRUE)
+IF(WEEKDAY(B16,2)=7,48,0))</f>
        <v/>
      </c>
      <c r="F16" s="17" t="n"/>
      <c r="G16" s="18" t="n"/>
      <c r="H16" s="15">
        <f>IF(OR(F16="",G16="",F16=0),"",G16/F16)</f>
        <v/>
      </c>
      <c r="I16" s="31">
        <f>IF(H16=1,20,IF(AND(H16&gt;=98%,H16&lt;100%),10,0))</f>
        <v/>
      </c>
      <c r="J16" s="32">
        <f>E16+I16</f>
        <v/>
      </c>
      <c r="K16" s="1" t="n"/>
      <c r="L16" s="1" t="n"/>
      <c r="M16" s="1" t="n"/>
      <c r="N16" s="1" t="n"/>
      <c r="O16" s="35" t="n"/>
      <c r="P16" s="35" t="n"/>
      <c r="Q16" s="33" t="n"/>
      <c r="R16" s="33" t="n"/>
      <c r="S16" s="34">
        <f>O16+P16+Q16+R16</f>
        <v/>
      </c>
      <c r="T16" s="1" t="n"/>
      <c r="U16" s="43">
        <f>SUM(J16-S16)</f>
        <v/>
      </c>
      <c r="V16" s="44" t="n"/>
      <c r="W16" s="2" t="n"/>
    </row>
    <row r="17" ht="15.75" customHeight="1" s="45">
      <c r="B17" s="30" t="n">
        <v>46304</v>
      </c>
      <c r="C17" s="12">
        <f>IF(B17="","",TEXT(WEEKDAY(B17),"dddd"))</f>
        <v/>
      </c>
      <c r="D17" s="16" t="n"/>
      <c r="E17" s="13">
        <f>IF(D17="","",VLOOKUP(D17,
{0,240;101,260;126,280;151,300;176,320;201,340;226,360;251,380;276,400;301,420;326,440;351,460;376,480},
2,TRUE)
+IF(WEEKDAY(B17,2)=7,48,0))</f>
        <v/>
      </c>
      <c r="F17" s="17" t="n"/>
      <c r="G17" s="18" t="n"/>
      <c r="H17" s="15">
        <f>IF(OR(F17="",G17="",F17=0),"",G17/F17)</f>
        <v/>
      </c>
      <c r="I17" s="31">
        <f>IF(H17=1,20,IF(AND(H17&gt;=98%,H17&lt;100%),10,0))</f>
        <v/>
      </c>
      <c r="J17" s="32">
        <f>E17+I17</f>
        <v/>
      </c>
      <c r="K17" s="1" t="n"/>
      <c r="L17" s="46" t="inlineStr">
        <is>
          <t>Total/Gasto</t>
        </is>
      </c>
      <c r="M17" s="47" t="n"/>
      <c r="N17" s="1" t="n"/>
      <c r="O17" s="35" t="n"/>
      <c r="P17" s="35" t="n"/>
      <c r="Q17" s="33" t="n"/>
      <c r="R17" s="33" t="n"/>
      <c r="S17" s="34">
        <f>O17+P17+Q17+R17</f>
        <v/>
      </c>
      <c r="T17" s="1" t="n"/>
      <c r="U17" s="43">
        <f>SUM(J17-S17)</f>
        <v/>
      </c>
      <c r="V17" s="44" t="n"/>
      <c r="W17" s="2" t="n"/>
    </row>
    <row r="18" ht="15.75" customHeight="1" s="45">
      <c r="B18" s="30" t="n">
        <v>46305</v>
      </c>
      <c r="C18" s="12">
        <f>IF(B18="","",TEXT(WEEKDAY(B18),"dddd"))</f>
        <v/>
      </c>
      <c r="D18" s="16" t="n"/>
      <c r="E18" s="13">
        <f>IF(D18="","",VLOOKUP(D18,
{0,240;101,260;126,280;151,300;176,320;201,340;226,360;251,380;276,400;301,420;326,440;351,460;376,480},
2,TRUE)
+IF(WEEKDAY(B18,2)=7,48,0))</f>
        <v/>
      </c>
      <c r="F18" s="17" t="n"/>
      <c r="G18" s="18" t="n"/>
      <c r="H18" s="15">
        <f>IF(OR(F18="",G18="",F18=0),"",G18/F18)</f>
        <v/>
      </c>
      <c r="I18" s="31">
        <f>IF(H18=1,20,IF(AND(H18&gt;=98%,H18&lt;100%),10,0))</f>
        <v/>
      </c>
      <c r="J18" s="32">
        <f>E18+I18</f>
        <v/>
      </c>
      <c r="K18" s="1" t="n"/>
      <c r="L18" s="48" t="n"/>
      <c r="M18" s="49" t="n"/>
      <c r="N18" s="1" t="n"/>
      <c r="O18" s="35" t="n"/>
      <c r="P18" s="35" t="n"/>
      <c r="Q18" s="33" t="n"/>
      <c r="R18" s="33" t="n"/>
      <c r="S18" s="34">
        <f>O18+P18+Q18+R18</f>
        <v/>
      </c>
      <c r="T18" s="1" t="n"/>
      <c r="U18" s="43">
        <f>SUM(J18-S18)</f>
        <v/>
      </c>
      <c r="V18" s="44" t="n"/>
      <c r="W18" s="2" t="n"/>
    </row>
    <row r="19" ht="15.75" customHeight="1" s="45">
      <c r="B19" s="30" t="n"/>
      <c r="C19" s="12">
        <f>IF(B19="","",TEXT(WEEKDAY(B19),"dddd"))</f>
        <v/>
      </c>
      <c r="D19" s="16" t="n"/>
      <c r="E19" s="13">
        <f>IF(D19="","",VLOOKUP(D19,
{0,240;101,260;126,280;151,300;176,320;201,340;226,360;251,380;276,400;301,420;326,440;351,460;376,480},
2,TRUE)
+IF(WEEKDAY(B19,2)=7,48,0))</f>
        <v/>
      </c>
      <c r="F19" s="17" t="n"/>
      <c r="G19" s="18" t="n"/>
      <c r="H19" s="15">
        <f>IF(OR(F19="",G19="",F19=0),"",G19/F19)</f>
        <v/>
      </c>
      <c r="I19" s="31">
        <f>IF(H19=1,20,IF(AND(H19&gt;=98%,H19&lt;100%),10,0))</f>
        <v/>
      </c>
      <c r="J19" s="32">
        <f>E19+I19</f>
        <v/>
      </c>
      <c r="K19" s="1" t="n"/>
      <c r="L19" s="57">
        <f>SUM(S4:S35)</f>
        <v/>
      </c>
      <c r="M19" s="51" t="n"/>
      <c r="N19" s="1" t="n"/>
      <c r="O19" s="35" t="n"/>
      <c r="P19" s="35" t="n"/>
      <c r="Q19" s="33" t="n"/>
      <c r="R19" s="33" t="n"/>
      <c r="S19" s="34">
        <f>O19+P19+Q19+R19</f>
        <v/>
      </c>
      <c r="T19" s="1" t="n"/>
      <c r="U19" s="43">
        <f>SUM(J19-S19)</f>
        <v/>
      </c>
      <c r="V19" s="44" t="n"/>
      <c r="W19" s="2" t="n"/>
    </row>
    <row r="20" ht="15.75" customHeight="1" s="45">
      <c r="A20" s="36" t="n"/>
      <c r="B20" s="37" t="n"/>
      <c r="C20" s="19" t="n"/>
      <c r="D20" s="20" t="n"/>
      <c r="E20" s="21" t="n"/>
      <c r="F20" s="22" t="n"/>
      <c r="G20" s="23" t="n"/>
      <c r="H20" s="24" t="n"/>
      <c r="I20" s="38" t="n"/>
      <c r="J20" s="25" t="n"/>
      <c r="K20" s="1" t="n"/>
      <c r="L20" s="52" t="n"/>
      <c r="M20" s="51" t="n"/>
      <c r="N20" s="1" t="n"/>
      <c r="O20" s="39" t="n"/>
      <c r="P20" s="39" t="n"/>
      <c r="Q20" s="40" t="n"/>
      <c r="R20" s="40" t="n"/>
      <c r="S20" s="40" t="n"/>
      <c r="T20" s="1" t="n"/>
      <c r="U20" s="59" t="n"/>
      <c r="V20" s="44" t="n"/>
      <c r="W20" s="2" t="n"/>
    </row>
    <row r="21" ht="15.75" customHeight="1" s="45">
      <c r="A21" s="64" t="n">
        <v>2</v>
      </c>
      <c r="B21" s="30" t="n">
        <v>46306</v>
      </c>
      <c r="C21" s="12">
        <f>IF(B21="","",TEXT(WEEKDAY(B21),"dddd"))</f>
        <v/>
      </c>
      <c r="D21" s="16" t="n"/>
      <c r="E21" s="13">
        <f>IF(D21="","",VLOOKUP(D21,
{0,240;101,260;126,280;151,300;176,320;201,340;226,360;251,380;276,400;301,420;326,440;351,460;376,480},
2,TRUE)
+IF(WEEKDAY(B21,2)=7,48,0))</f>
        <v/>
      </c>
      <c r="F21" s="17" t="n"/>
      <c r="G21" s="18" t="n"/>
      <c r="H21" s="15">
        <f>IF(OR(F21="",G21="",F21=0),"",G21/F21)</f>
        <v/>
      </c>
      <c r="I21" s="31">
        <f>IF(H21=1,20,IF(AND(H21&gt;=98%,H21&lt;100%),10,0))</f>
        <v/>
      </c>
      <c r="J21" s="32">
        <f>E21+I21</f>
        <v/>
      </c>
      <c r="K21" s="1" t="n"/>
      <c r="L21" s="53" t="n"/>
      <c r="M21" s="54" t="n"/>
      <c r="N21" s="1" t="n"/>
      <c r="O21" s="35" t="n"/>
      <c r="P21" s="35" t="n"/>
      <c r="Q21" s="33" t="n"/>
      <c r="R21" s="33" t="n"/>
      <c r="S21" s="34">
        <f>O21+P21+Q21+R21</f>
        <v/>
      </c>
      <c r="T21" s="1" t="n"/>
      <c r="U21" s="43">
        <f>SUM(J21-S21)</f>
        <v/>
      </c>
      <c r="V21" s="44" t="n"/>
      <c r="W21" s="2" t="n"/>
    </row>
    <row r="22" ht="15.75" customHeight="1" s="45">
      <c r="B22" s="30" t="n">
        <v>46307</v>
      </c>
      <c r="C22" s="12">
        <f>IF(B22="","",TEXT(WEEKDAY(B22),"dddd"))</f>
        <v/>
      </c>
      <c r="D22" s="16" t="n"/>
      <c r="E22" s="13">
        <f>IF(D22="","",VLOOKUP(D22,
{0,240;101,260;126,280;151,300;176,320;201,340;226,360;251,380;276,400;301,420;326,440;351,460;376,480},
2,TRUE)
+IF(WEEKDAY(B22,2)=7,48,0))</f>
        <v/>
      </c>
      <c r="F22" s="17" t="n"/>
      <c r="G22" s="18" t="n"/>
      <c r="H22" s="15">
        <f>IF(OR(F22="",G22="",F22=0),"",G22/F22)</f>
        <v/>
      </c>
      <c r="I22" s="31">
        <f>IF(H22=1,20,IF(AND(H22&gt;=98%,H22&lt;100%),10,0))</f>
        <v/>
      </c>
      <c r="J22" s="32">
        <f>E22+I22</f>
        <v/>
      </c>
      <c r="K22" s="1" t="n"/>
      <c r="L22" s="46" t="inlineStr">
        <is>
          <t>Total/Lucro</t>
        </is>
      </c>
      <c r="M22" s="47" t="n"/>
      <c r="N22" s="1" t="n"/>
      <c r="O22" s="35" t="n"/>
      <c r="P22" s="35" t="n"/>
      <c r="Q22" s="33" t="n"/>
      <c r="R22" s="33" t="n"/>
      <c r="S22" s="34">
        <f>O22+P22+Q22+R22</f>
        <v/>
      </c>
      <c r="T22" s="1" t="n"/>
      <c r="U22" s="43">
        <f>SUM(J22-S22)</f>
        <v/>
      </c>
      <c r="V22" s="44" t="n"/>
      <c r="W22" s="2" t="n"/>
    </row>
    <row r="23" ht="15.75" customHeight="1" s="45">
      <c r="B23" s="30" t="n">
        <v>46308</v>
      </c>
      <c r="C23" s="12">
        <f>IF(B23="","",TEXT(WEEKDAY(B23),"dddd"))</f>
        <v/>
      </c>
      <c r="D23" s="16" t="n"/>
      <c r="E23" s="13">
        <f>IF(D23="","",VLOOKUP(D23,
{0,240;101,260;126,280;151,300;176,320;201,340;226,360;251,380;276,400;301,420;326,440;351,460;376,480},
2,TRUE)
+IF(WEEKDAY(B23,2)=7,48,0))</f>
        <v/>
      </c>
      <c r="F23" s="17" t="n"/>
      <c r="G23" s="18" t="n"/>
      <c r="H23" s="15">
        <f>IF(OR(F23="",G23="",F23=0),"",G23/F23)</f>
        <v/>
      </c>
      <c r="I23" s="31">
        <f>IF(H23=1,20,IF(AND(H23&gt;=98%,H23&lt;100%),10,0))</f>
        <v/>
      </c>
      <c r="J23" s="32">
        <f>E23+I23</f>
        <v/>
      </c>
      <c r="K23" s="1" t="n"/>
      <c r="L23" s="48" t="n"/>
      <c r="M23" s="49" t="n"/>
      <c r="N23" s="1" t="n"/>
      <c r="O23" s="35" t="n"/>
      <c r="P23" s="35" t="n"/>
      <c r="Q23" s="33" t="n"/>
      <c r="R23" s="33" t="n"/>
      <c r="S23" s="34">
        <f>O23+P23+Q23+R23</f>
        <v/>
      </c>
      <c r="T23" s="1" t="n"/>
      <c r="U23" s="43">
        <f>SUM(J23-S23)</f>
        <v/>
      </c>
      <c r="V23" s="44" t="n"/>
      <c r="W23" s="2" t="n"/>
    </row>
    <row r="24" ht="15.75" customHeight="1" s="45">
      <c r="B24" s="30" t="n">
        <v>46309</v>
      </c>
      <c r="C24" s="12">
        <f>IF(B24="","",TEXT(WEEKDAY(B24),"dddd"))</f>
        <v/>
      </c>
      <c r="D24" s="16" t="n"/>
      <c r="E24" s="13">
        <f>IF(D24="","",VLOOKUP(D24,
{0,240;101,260;126,280;151,300;176,320;201,340;226,360;251,380;276,400;301,420;326,440;351,460;376,480},
2,TRUE)
+IF(WEEKDAY(B24,2)=7,48,0))</f>
        <v/>
      </c>
      <c r="F24" s="17" t="n"/>
      <c r="G24" s="18" t="n"/>
      <c r="H24" s="15">
        <f>IF(OR(F24="",G24="",F24=0),"",G24/F24)</f>
        <v/>
      </c>
      <c r="I24" s="31">
        <f>IF(H24=1,20,IF(AND(H24&gt;=98%,H24&lt;100%),10,0))</f>
        <v/>
      </c>
      <c r="J24" s="32">
        <f>E24+I24</f>
        <v/>
      </c>
      <c r="K24" s="1" t="n"/>
      <c r="L24" s="60">
        <f>SUM(L13-L19)</f>
        <v/>
      </c>
      <c r="M24" s="51" t="n"/>
      <c r="N24" s="1" t="n"/>
      <c r="O24" s="35" t="n"/>
      <c r="P24" s="35" t="n"/>
      <c r="Q24" s="33" t="n"/>
      <c r="R24" s="33" t="n"/>
      <c r="S24" s="34">
        <f>O24+P24+Q24+R24</f>
        <v/>
      </c>
      <c r="T24" s="1" t="n"/>
      <c r="U24" s="43">
        <f>SUM(J24-S24)</f>
        <v/>
      </c>
      <c r="V24" s="44" t="n"/>
      <c r="W24" s="2" t="n"/>
    </row>
    <row r="25" ht="15.75" customHeight="1" s="45">
      <c r="B25" s="30" t="n">
        <v>46310</v>
      </c>
      <c r="C25" s="12">
        <f>IF(B25="","",TEXT(WEEKDAY(B25),"dddd"))</f>
        <v/>
      </c>
      <c r="D25" s="16" t="n"/>
      <c r="E25" s="13">
        <f>IF(D25="","",VLOOKUP(D25,
{0,240;101,260;126,280;151,300;176,320;201,340;226,360;251,380;276,400;301,420;326,440;351,460;376,480},
2,TRUE)
+IF(WEEKDAY(B25,2)=7,48,0))</f>
        <v/>
      </c>
      <c r="F25" s="17" t="n"/>
      <c r="G25" s="18" t="n"/>
      <c r="H25" s="15">
        <f>IF(OR(F25="",G25="",F25=0),"",G25/F25)</f>
        <v/>
      </c>
      <c r="I25" s="31">
        <f>IF(H25=1,20,IF(AND(H25&gt;=98%,H25&lt;100%),10,0))</f>
        <v/>
      </c>
      <c r="J25" s="32">
        <f>E25+I25</f>
        <v/>
      </c>
      <c r="K25" s="1" t="n"/>
      <c r="L25" s="53" t="n"/>
      <c r="M25" s="54" t="n"/>
      <c r="N25" s="1" t="n"/>
      <c r="O25" s="35" t="n"/>
      <c r="P25" s="35" t="n"/>
      <c r="Q25" s="33" t="n"/>
      <c r="R25" s="33" t="n"/>
      <c r="S25" s="34">
        <f>O25+P25+Q25+R25</f>
        <v/>
      </c>
      <c r="T25" s="1" t="n"/>
      <c r="U25" s="43">
        <f>SUM(J25-S25)</f>
        <v/>
      </c>
      <c r="V25" s="44" t="n"/>
      <c r="W25" s="2" t="n"/>
    </row>
    <row r="26" ht="15.75" customHeight="1" s="45">
      <c r="B26" s="30" t="n">
        <v>46311</v>
      </c>
      <c r="C26" s="12">
        <f>IF(B26="","",TEXT(WEEKDAY(B26),"dddd"))</f>
        <v/>
      </c>
      <c r="D26" s="16" t="n"/>
      <c r="E26" s="13">
        <f>IF(D26="","",VLOOKUP(D26,
{0,240;101,260;126,280;151,300;176,320;201,340;226,360;251,380;276,400;301,420;326,440;351,460;376,480},
2,TRUE)
+IF(WEEKDAY(B26,2)=7,48,0))</f>
        <v/>
      </c>
      <c r="F26" s="17" t="n"/>
      <c r="G26" s="18" t="n"/>
      <c r="H26" s="15">
        <f>IF(OR(F26="",G26="",F26=0),"",G26/F26)</f>
        <v/>
      </c>
      <c r="I26" s="31">
        <f>IF(H26=1,20,IF(AND(H26&gt;=98%,H26&lt;100%),10,0))</f>
        <v/>
      </c>
      <c r="J26" s="32">
        <f>E26+I26</f>
        <v/>
      </c>
      <c r="K26" s="1" t="n"/>
      <c r="L26" s="1" t="n"/>
      <c r="M26" s="1" t="n"/>
      <c r="N26" s="1" t="n"/>
      <c r="O26" s="35" t="n"/>
      <c r="P26" s="35" t="n"/>
      <c r="Q26" s="33" t="n"/>
      <c r="R26" s="33" t="n"/>
      <c r="S26" s="34">
        <f>O26+P26+Q26+R26</f>
        <v/>
      </c>
      <c r="T26" s="1" t="n"/>
      <c r="U26" s="43">
        <f>SUM(J26-S26)</f>
        <v/>
      </c>
      <c r="V26" s="44" t="n"/>
      <c r="W26" s="2" t="n"/>
    </row>
    <row r="27" ht="15.75" customHeight="1" s="45">
      <c r="B27" s="30" t="n">
        <v>46312</v>
      </c>
      <c r="C27" s="12">
        <f>IF(B27="","",TEXT(WEEKDAY(B27),"dddd"))</f>
        <v/>
      </c>
      <c r="D27" s="16" t="n"/>
      <c r="E27" s="13">
        <f>IF(D27="","",VLOOKUP(D27,
{0,240;101,260;126,280;151,300;176,320;201,340;226,360;251,380;276,400;301,420;326,440;351,460;376,480},
2,TRUE)
+IF(WEEKDAY(B27,2)=7,48,0))</f>
        <v/>
      </c>
      <c r="F27" s="17" t="n"/>
      <c r="G27" s="18" t="n"/>
      <c r="H27" s="15">
        <f>IF(OR(F27="",G27="",F27=0),"",G27/F27)</f>
        <v/>
      </c>
      <c r="I27" s="31">
        <f>IF(H27=1,20,IF(AND(H27&gt;=98%,H27&lt;100%),10,0))</f>
        <v/>
      </c>
      <c r="J27" s="32">
        <f>E27+I27</f>
        <v/>
      </c>
      <c r="K27" s="1" t="n"/>
      <c r="L27" s="66" t="inlineStr">
        <is>
          <t>1ª bônus 600</t>
        </is>
      </c>
      <c r="M27" s="56" t="n"/>
      <c r="N27" s="1" t="n"/>
      <c r="O27" s="35" t="n"/>
      <c r="P27" s="35" t="n"/>
      <c r="Q27" s="33" t="n"/>
      <c r="R27" s="33" t="n"/>
      <c r="S27" s="34">
        <f>O27+P27+Q27+R27</f>
        <v/>
      </c>
      <c r="T27" s="1" t="n"/>
      <c r="U27" s="43">
        <f>SUM(J27-S27)</f>
        <v/>
      </c>
      <c r="V27" s="44" t="n"/>
      <c r="W27" s="2" t="n"/>
    </row>
    <row r="28" ht="15.75" customHeight="1" s="45">
      <c r="B28" s="30" t="n">
        <v>46313</v>
      </c>
      <c r="C28" s="12">
        <f>IF(B28="","",TEXT(WEEKDAY(B28),"dddd"))</f>
        <v/>
      </c>
      <c r="D28" s="16" t="n"/>
      <c r="E28" s="13">
        <f>IF(D28="","",VLOOKUP(D28,
{0,240;101,260;126,280;151,300;176,320;201,340;226,360;251,380;276,400;301,420;326,440;351,460;376,480},
2,TRUE)
+IF(WEEKDAY(B28,2)=7,48,0))</f>
        <v/>
      </c>
      <c r="F28" s="17" t="n"/>
      <c r="G28" s="18" t="n"/>
      <c r="H28" s="15">
        <f>IF(OR(F28="",G28="",F28=0),"",G28/F28)</f>
        <v/>
      </c>
      <c r="I28" s="31">
        <f>IF(H28=1,20,IF(AND(H28&gt;=98%,H28&lt;100%),10,0))</f>
        <v/>
      </c>
      <c r="J28" s="32">
        <f>E28+I28</f>
        <v/>
      </c>
      <c r="K28" s="1" t="n"/>
      <c r="L28" s="53" t="n"/>
      <c r="M28" s="54" t="n"/>
      <c r="N28" s="1" t="n"/>
      <c r="O28" s="35" t="n"/>
      <c r="P28" s="35" t="n"/>
      <c r="Q28" s="33" t="n"/>
      <c r="R28" s="33" t="n"/>
      <c r="S28" s="34">
        <f>O28+P28+Q28+R28</f>
        <v/>
      </c>
      <c r="T28" s="1" t="n"/>
      <c r="U28" s="43">
        <f>SUM(J28-S28)</f>
        <v/>
      </c>
      <c r="V28" s="44" t="n"/>
      <c r="W28" s="2" t="n"/>
    </row>
    <row r="29" ht="15.75" customHeight="1" s="45">
      <c r="B29" s="30" t="n">
        <v>46314</v>
      </c>
      <c r="C29" s="12">
        <f>IF(B29="","",TEXT(WEEKDAY(B29),"dddd"))</f>
        <v/>
      </c>
      <c r="D29" s="16" t="n"/>
      <c r="E29" s="13">
        <f>IF(D29="","",VLOOKUP(D29,
{0,240;101,260;126,280;151,300;176,320;201,340;226,360;251,380;276,400;301,420;326,440;351,460;376,480},
2,TRUE)
+IF(WEEKDAY(B29,2)=7,48,0))</f>
        <v/>
      </c>
      <c r="F29" s="17" t="n"/>
      <c r="G29" s="18" t="n"/>
      <c r="H29" s="15">
        <f>IF(OR(F29="",G29="",F29=0),"",G29/F29)</f>
        <v/>
      </c>
      <c r="I29" s="31">
        <f>IF(H29=1,20,IF(AND(H29&gt;=98%,H29&lt;100%),10,0))</f>
        <v/>
      </c>
      <c r="J29" s="32">
        <f>E29+I29</f>
        <v/>
      </c>
      <c r="K29" s="1" t="n"/>
      <c r="L29" s="55">
        <f>IF(OR(F37="",G37="",F37=0),"",G37/F37)</f>
        <v/>
      </c>
      <c r="M29" s="56" t="n"/>
      <c r="N29" s="1" t="n"/>
      <c r="O29" s="35" t="n"/>
      <c r="P29" s="35" t="n"/>
      <c r="Q29" s="33" t="n"/>
      <c r="R29" s="33" t="n"/>
      <c r="S29" s="34">
        <f>O29+P29+Q29+R29</f>
        <v/>
      </c>
      <c r="T29" s="1" t="n"/>
      <c r="U29" s="43">
        <f>SUM(J29-S29)</f>
        <v/>
      </c>
      <c r="V29" s="44" t="n"/>
      <c r="W29" s="2" t="n"/>
    </row>
    <row r="30" ht="15.75" customHeight="1" s="45">
      <c r="B30" s="30" t="n">
        <v>46315</v>
      </c>
      <c r="C30" s="12">
        <f>IF(B30="","",TEXT(WEEKDAY(B30),"dddd"))</f>
        <v/>
      </c>
      <c r="D30" s="16" t="n"/>
      <c r="E30" s="13">
        <f>IF(D30="","",VLOOKUP(D30,
{0,240;101,260;126,280;151,300;176,320;201,340;226,360;251,380;276,400;301,420;326,440;351,460;376,480},
2,TRUE)
+IF(WEEKDAY(B30,2)=7,48,0))</f>
        <v/>
      </c>
      <c r="F30" s="17" t="n"/>
      <c r="G30" s="18" t="n"/>
      <c r="H30" s="15">
        <f>IF(OR(F30="",G30="",F30=0),"",G30/F30)</f>
        <v/>
      </c>
      <c r="I30" s="31">
        <f>IF(H30=1,20,IF(AND(H30&gt;=98%,H30&lt;100%),10,0))</f>
        <v/>
      </c>
      <c r="J30" s="32">
        <f>E30+I30</f>
        <v/>
      </c>
      <c r="K30" s="1" t="n"/>
      <c r="L30" s="53" t="n"/>
      <c r="M30" s="54" t="n"/>
      <c r="N30" s="1" t="n"/>
      <c r="O30" s="35" t="n"/>
      <c r="P30" s="35" t="n"/>
      <c r="Q30" s="33" t="n"/>
      <c r="R30" s="33" t="n"/>
      <c r="S30" s="34">
        <f>O30+P30+Q30+R30</f>
        <v/>
      </c>
      <c r="T30" s="1" t="n"/>
      <c r="U30" s="43">
        <f>SUM(J30-S30)</f>
        <v/>
      </c>
      <c r="V30" s="44" t="n"/>
      <c r="W30" s="2" t="n"/>
    </row>
    <row r="31" ht="15.75" customHeight="1" s="45">
      <c r="B31" s="30" t="n">
        <v>46316</v>
      </c>
      <c r="C31" s="12">
        <f>IF(B31="","",TEXT(WEEKDAY(B31),"dddd"))</f>
        <v/>
      </c>
      <c r="D31" s="16" t="n"/>
      <c r="E31" s="13">
        <f>IF(D31="","",VLOOKUP(D31,
{0,240;101,260;126,280;151,300;176,320;201,340;226,360;251,380;276,400;301,420;326,440;351,460;376,480},
2,TRUE)
+IF(WEEKDAY(B31,2)=7,48,0))</f>
        <v/>
      </c>
      <c r="F31" s="17" t="n"/>
      <c r="G31" s="18" t="n"/>
      <c r="H31" s="15">
        <f>IF(OR(F31="",G31="",F31=0),"",G31/F31)</f>
        <v/>
      </c>
      <c r="I31" s="31">
        <f>IF(H31=1,20,IF(AND(H31&gt;=98%,H31&lt;100%),10,0))</f>
        <v/>
      </c>
      <c r="J31" s="32">
        <f>E31+I31</f>
        <v/>
      </c>
      <c r="K31" s="1" t="n"/>
      <c r="L31" s="58">
        <f>COUNTIF(D4:D19,"&gt;0")</f>
        <v/>
      </c>
      <c r="N31" s="1" t="n"/>
      <c r="O31" s="35" t="n"/>
      <c r="P31" s="35" t="n"/>
      <c r="Q31" s="33" t="n"/>
      <c r="R31" s="33" t="n"/>
      <c r="S31" s="34">
        <f>O31+P31+Q31+R31</f>
        <v/>
      </c>
      <c r="T31" s="1" t="n"/>
      <c r="U31" s="43">
        <f>SUM(J31-S31)</f>
        <v/>
      </c>
      <c r="V31" s="44" t="n"/>
      <c r="W31" s="2" t="n"/>
    </row>
    <row r="32" ht="15.75" customHeight="1" s="45">
      <c r="B32" s="30" t="n">
        <v>46317</v>
      </c>
      <c r="C32" s="12">
        <f>IF(B32="","",TEXT(WEEKDAY(B32),"dddd"))</f>
        <v/>
      </c>
      <c r="D32" s="16" t="n"/>
      <c r="E32" s="13">
        <f>IF(D32="","",VLOOKUP(D32,
{0,240;101,260;126,280;151,300;176,320;201,340;226,360;251,380;276,400;301,420;326,440;351,460;376,480},
2,TRUE)
+IF(WEEKDAY(B32,2)=7,48,0))</f>
        <v/>
      </c>
      <c r="F32" s="17" t="n"/>
      <c r="G32" s="18" t="n"/>
      <c r="H32" s="15">
        <f>IF(OR(F32="",G32="",F32=0),"",G32/F32)</f>
        <v/>
      </c>
      <c r="I32" s="31">
        <f>IF(H32=1,20,IF(AND(H32&gt;=98%,H32&lt;100%),10,0))</f>
        <v/>
      </c>
      <c r="J32" s="32">
        <f>E32+I32</f>
        <v/>
      </c>
      <c r="K32" s="1" t="n"/>
      <c r="L32" s="66" t="inlineStr">
        <is>
          <t>2ª bônus 600</t>
        </is>
      </c>
      <c r="M32" s="56" t="n"/>
      <c r="N32" s="1" t="n"/>
      <c r="O32" s="35" t="n"/>
      <c r="P32" s="35" t="n"/>
      <c r="Q32" s="33" t="n"/>
      <c r="R32" s="33" t="n"/>
      <c r="S32" s="34">
        <f>O32+P32+Q32+R32</f>
        <v/>
      </c>
      <c r="T32" s="1" t="n"/>
      <c r="U32" s="43">
        <f>SUM(J32-S32)</f>
        <v/>
      </c>
      <c r="V32" s="44" t="n"/>
      <c r="W32" s="2" t="n"/>
    </row>
    <row r="33" ht="15.75" customHeight="1" s="45">
      <c r="B33" s="30" t="n">
        <v>46318</v>
      </c>
      <c r="C33" s="12">
        <f>IF(B33="","",TEXT(WEEKDAY(B33),"dddd"))</f>
        <v/>
      </c>
      <c r="D33" s="16" t="n"/>
      <c r="E33" s="13">
        <f>IF(D33="","",VLOOKUP(D33,
{0,240;101,260;126,280;151,300;176,320;201,340;226,360;251,380;276,400;301,420;326,440;351,460;376,480},
2,TRUE)
+IF(WEEKDAY(B33,2)=7,48,0))</f>
        <v/>
      </c>
      <c r="F33" s="17" t="n"/>
      <c r="G33" s="18" t="n"/>
      <c r="H33" s="15">
        <f>IF(OR(F33="",G33="",F33=0),"",G33/F33)</f>
        <v/>
      </c>
      <c r="I33" s="31">
        <f>IF(H33=1,20,IF(AND(H33&gt;=98%,H33&lt;100%),10,0))</f>
        <v/>
      </c>
      <c r="J33" s="32">
        <f>E33+I33</f>
        <v/>
      </c>
      <c r="K33" s="1" t="n"/>
      <c r="L33" s="53" t="n"/>
      <c r="M33" s="54" t="n"/>
      <c r="N33" s="1" t="n"/>
      <c r="O33" s="35" t="n"/>
      <c r="P33" s="35" t="n"/>
      <c r="Q33" s="33" t="n"/>
      <c r="R33" s="33" t="n"/>
      <c r="S33" s="34">
        <f>O33+P33+Q33+R33</f>
        <v/>
      </c>
      <c r="T33" s="1" t="n"/>
      <c r="U33" s="43">
        <f>SUM(J33-S33)</f>
        <v/>
      </c>
      <c r="V33" s="44" t="n"/>
      <c r="W33" s="2" t="n"/>
    </row>
    <row r="34" ht="15.75" customHeight="1" s="45">
      <c r="B34" s="30" t="n">
        <v>46319</v>
      </c>
      <c r="C34" s="12">
        <f>IF(B34="","",TEXT(WEEKDAY(B34),"dddd"))</f>
        <v/>
      </c>
      <c r="D34" s="16" t="n"/>
      <c r="E34" s="13">
        <f>IF(D34="","",VLOOKUP(D34,
{0,240;101,260;126,280;151,300;176,320;201,340;226,360;251,380;276,400;301,420;326,440;351,460;376,480},
2,TRUE)
+IF(WEEKDAY(B34,2)=7,48,0))</f>
        <v/>
      </c>
      <c r="F34" s="17" t="n"/>
      <c r="G34" s="18" t="n"/>
      <c r="H34" s="15">
        <f>IF(OR(F34="",G34="",F34=0),"",G34/F34)</f>
        <v/>
      </c>
      <c r="I34" s="31">
        <f>IF(H34=1,20,IF(AND(H34&gt;=98%,H34&lt;100%),10,0))</f>
        <v/>
      </c>
      <c r="J34" s="32">
        <f>E34+I34</f>
        <v/>
      </c>
      <c r="K34" s="1" t="n"/>
      <c r="L34" s="55">
        <f>IF(OR(F38="",G38="",F38=0),"",G38/F38)</f>
        <v/>
      </c>
      <c r="M34" s="56" t="n"/>
      <c r="N34" s="1" t="n"/>
      <c r="O34" s="35" t="n"/>
      <c r="P34" s="35" t="n"/>
      <c r="Q34" s="33" t="n"/>
      <c r="R34" s="33" t="n"/>
      <c r="S34" s="34">
        <f>O34+P34+Q34+R34</f>
        <v/>
      </c>
      <c r="T34" s="1" t="n"/>
      <c r="U34" s="43">
        <f>SUM(J34-S34)</f>
        <v/>
      </c>
      <c r="V34" s="44" t="n"/>
      <c r="W34" s="2" t="n"/>
    </row>
    <row r="35" ht="15.75" customHeight="1" s="45">
      <c r="B35" s="30" t="n">
        <v>46320</v>
      </c>
      <c r="C35" s="12">
        <f>IF(B35="","",TEXT(WEEKDAY(B35),"dddd"))</f>
        <v/>
      </c>
      <c r="D35" s="16" t="n"/>
      <c r="E35" s="13">
        <f>IF(D35="","",VLOOKUP(D35,
{0,240;101,260;126,280;151,300;176,320;201,340;226,360;251,380;276,400;301,420;326,440;351,460;376,480},
2,TRUE)
+IF(WEEKDAY(B35,2)=7,48,0))</f>
        <v/>
      </c>
      <c r="F35" s="26" t="n"/>
      <c r="G35" s="27" t="n"/>
      <c r="H35" s="15">
        <f>IF(OR(F35="",G35="",F35=0),"",G35/F35)</f>
        <v/>
      </c>
      <c r="I35" s="31">
        <f>IF(H35=1,20,IF(AND(H35&gt;=98%,H35&lt;100%),10,0))</f>
        <v/>
      </c>
      <c r="J35" s="32">
        <f>E35+I35</f>
        <v/>
      </c>
      <c r="K35" s="1" t="n"/>
      <c r="L35" s="53" t="n"/>
      <c r="M35" s="54" t="n"/>
      <c r="N35" s="1" t="n"/>
      <c r="O35" s="35" t="n"/>
      <c r="P35" s="35" t="n"/>
      <c r="Q35" s="33" t="n"/>
      <c r="R35" s="33" t="n"/>
      <c r="S35" s="34">
        <f>O35+P35+Q35+R35</f>
        <v/>
      </c>
      <c r="T35" s="1" t="n"/>
      <c r="U35" s="43">
        <f>SUM(J35-S35)</f>
        <v/>
      </c>
      <c r="V35" s="44" t="n"/>
      <c r="W35" s="2" t="n"/>
    </row>
    <row r="36" ht="15.75" customHeight="1" s="4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69">
        <f>COUNTIF(D21:D35,"&gt;0")</f>
        <v/>
      </c>
      <c r="N36" s="1" t="n"/>
      <c r="O36" s="1" t="n"/>
      <c r="P36" s="1" t="n"/>
      <c r="Q36" s="1" t="n"/>
      <c r="R36" s="1" t="n"/>
      <c r="S36" s="1" t="n"/>
      <c r="T36" s="1" t="n"/>
      <c r="U36" s="65" t="n"/>
      <c r="V36" s="44" t="n"/>
      <c r="W36" s="2" t="n"/>
    </row>
    <row r="37" ht="15.75" customHeight="1" s="45">
      <c r="F37" s="28">
        <f>SUM(F4:F19)</f>
        <v/>
      </c>
      <c r="G37" s="28">
        <f>SUM(G4:G19)</f>
        <v/>
      </c>
      <c r="J37" s="41">
        <f>SUM(J4:J19)</f>
        <v/>
      </c>
      <c r="L37" s="29" t="n"/>
    </row>
    <row r="38" ht="15.75" customHeight="1" s="45">
      <c r="F38" s="28">
        <f>SUM(F21:F35)</f>
        <v/>
      </c>
      <c r="G38" s="28">
        <f>SUM(G21:G35)</f>
        <v/>
      </c>
      <c r="J38" s="41">
        <f>SUM(J21:J35)</f>
        <v/>
      </c>
    </row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  <row r="1001" ht="15.75" customHeight="1" s="45"/>
  </sheetData>
  <mergeCells count="85">
    <mergeCell ref="U31:V31"/>
    <mergeCell ref="U40:V40"/>
    <mergeCell ref="U15:V15"/>
    <mergeCell ref="U65:V65"/>
    <mergeCell ref="L22:M23"/>
    <mergeCell ref="L13:M15"/>
    <mergeCell ref="L34:M35"/>
    <mergeCell ref="L6:M7"/>
    <mergeCell ref="L19:M21"/>
    <mergeCell ref="U16:V16"/>
    <mergeCell ref="U57:V57"/>
    <mergeCell ref="U33:V33"/>
    <mergeCell ref="U28:V28"/>
    <mergeCell ref="U42:V42"/>
    <mergeCell ref="L31:M31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A4:A19"/>
    <mergeCell ref="U48:V48"/>
    <mergeCell ref="U32:V32"/>
    <mergeCell ref="L11:M12"/>
    <mergeCell ref="U41:V41"/>
    <mergeCell ref="U13:V13"/>
    <mergeCell ref="U7:V7"/>
    <mergeCell ref="U47:V47"/>
    <mergeCell ref="U56:V56"/>
    <mergeCell ref="U43:V43"/>
    <mergeCell ref="U24:V24"/>
    <mergeCell ref="U18:V18"/>
    <mergeCell ref="U58:V58"/>
    <mergeCell ref="U8:V8"/>
    <mergeCell ref="U63:V63"/>
    <mergeCell ref="U10:V10"/>
    <mergeCell ref="U50:V50"/>
    <mergeCell ref="U19:V19"/>
    <mergeCell ref="U44:V44"/>
    <mergeCell ref="U34:V34"/>
    <mergeCell ref="U9:V9"/>
    <mergeCell ref="U49:V49"/>
    <mergeCell ref="L1:M2"/>
    <mergeCell ref="U36:V36"/>
    <mergeCell ref="U30:V30"/>
    <mergeCell ref="U45:V45"/>
    <mergeCell ref="L27:M28"/>
    <mergeCell ref="U37:V37"/>
    <mergeCell ref="A21:A35"/>
    <mergeCell ref="U12:V12"/>
    <mergeCell ref="L17:M18"/>
    <mergeCell ref="U21:V21"/>
    <mergeCell ref="U62:V62"/>
    <mergeCell ref="U55:V55"/>
    <mergeCell ref="L3:M4"/>
    <mergeCell ref="U64:V64"/>
    <mergeCell ref="U51:V51"/>
    <mergeCell ref="U1:V3"/>
    <mergeCell ref="U26:V26"/>
    <mergeCell ref="U35:V35"/>
    <mergeCell ref="L29:M30"/>
    <mergeCell ref="U27:V27"/>
    <mergeCell ref="U17:V17"/>
    <mergeCell ref="U11:V11"/>
    <mergeCell ref="U25:V25"/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</mergeCells>
  <conditionalFormatting sqref="C4:C35">
    <cfRule type="beginsWith" priority="1" operator="beginsWith" dxfId="0" text="d">
      <formula>LEFT((C4),LEN("d"))=("d")</formula>
    </cfRule>
  </conditionalFormatting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W67"/>
  <sheetViews>
    <sheetView workbookViewId="0">
      <selection activeCell="A1" sqref="A1"/>
    </sheetView>
  </sheetViews>
  <sheetFormatPr baseColWidth="8" defaultColWidth="12.5703125" defaultRowHeight="15" customHeight="1"/>
  <cols>
    <col width="8.7109375" customWidth="1" style="45" min="1" max="1"/>
    <col width="12.5703125" customWidth="1" style="45" min="2" max="4"/>
    <col width="12.7109375" customWidth="1" style="45" min="5" max="5"/>
    <col width="12.5703125" customWidth="1" style="45" min="6" max="6"/>
    <col width="4.42578125" customWidth="1" style="45" min="11" max="11"/>
    <col width="4.140625" customWidth="1" style="45" min="14" max="14"/>
    <col width="4.28515625" customWidth="1" style="45" min="20" max="20"/>
    <col width="4.140625" customWidth="1" style="45" min="23" max="23"/>
  </cols>
  <sheetData>
    <row r="1" ht="15.75" customHeight="1" s="45">
      <c r="A1" s="1" t="n"/>
      <c r="B1" s="1" t="n"/>
      <c r="C1" s="68" t="inlineStr">
        <is>
          <t>planilha de ganhos Ac2</t>
        </is>
      </c>
      <c r="D1" s="62" t="n"/>
      <c r="E1" s="62" t="n"/>
      <c r="F1" s="62" t="n"/>
      <c r="G1" s="62" t="n"/>
      <c r="H1" s="47" t="n"/>
      <c r="I1" s="1" t="n"/>
      <c r="J1" s="1" t="n"/>
      <c r="K1" s="1" t="n"/>
      <c r="L1" s="46" t="inlineStr">
        <is>
          <t>1ª Quizena</t>
        </is>
      </c>
      <c r="M1" s="47" t="n"/>
      <c r="N1" s="1" t="n"/>
      <c r="O1" s="61" t="inlineStr">
        <is>
          <t>Gastos</t>
        </is>
      </c>
      <c r="P1" s="62" t="n"/>
      <c r="Q1" s="62" t="n"/>
      <c r="R1" s="62" t="n"/>
      <c r="S1" s="47" t="n"/>
      <c r="T1" s="1" t="n"/>
      <c r="U1" s="67" t="inlineStr">
        <is>
          <t>lucro diario</t>
        </is>
      </c>
      <c r="V1" s="56" t="n"/>
      <c r="W1" s="2" t="n"/>
    </row>
    <row r="2" ht="15.75" customHeight="1" s="45">
      <c r="A2" s="1" t="n"/>
      <c r="B2" s="1" t="n"/>
      <c r="C2" s="48" t="n"/>
      <c r="D2" s="63" t="n"/>
      <c r="E2" s="63" t="n"/>
      <c r="F2" s="63" t="n"/>
      <c r="G2" s="63" t="n"/>
      <c r="H2" s="49" t="n"/>
      <c r="I2" s="1" t="n"/>
      <c r="J2" s="1" t="n"/>
      <c r="K2" s="1" t="n"/>
      <c r="L2" s="48" t="n"/>
      <c r="M2" s="49" t="n"/>
      <c r="N2" s="1" t="n"/>
      <c r="O2" s="48" t="n"/>
      <c r="P2" s="63" t="n"/>
      <c r="Q2" s="63" t="n"/>
      <c r="R2" s="63" t="n"/>
      <c r="S2" s="49" t="n"/>
      <c r="T2" s="1" t="n"/>
      <c r="U2" s="52" t="n"/>
      <c r="V2" s="51" t="n"/>
      <c r="W2" s="2" t="n"/>
    </row>
    <row r="3" ht="15.75" customHeight="1" s="45">
      <c r="A3" s="3" t="n"/>
      <c r="B3" s="4" t="inlineStr">
        <is>
          <t>Data</t>
        </is>
      </c>
      <c r="C3" s="5" t="inlineStr">
        <is>
          <t>Dia semana</t>
        </is>
      </c>
      <c r="D3" s="6" t="inlineStr">
        <is>
          <t>Km executado</t>
        </is>
      </c>
      <c r="E3" s="5" t="inlineStr">
        <is>
          <t>R$ Diaria</t>
        </is>
      </c>
      <c r="F3" s="5" t="inlineStr">
        <is>
          <t>Qtd. Pacotes</t>
        </is>
      </c>
      <c r="G3" s="5" t="inlineStr">
        <is>
          <t xml:space="preserve">Qtd.entregas </t>
        </is>
      </c>
      <c r="H3" s="5" t="inlineStr">
        <is>
          <t>% de Entrega</t>
        </is>
      </c>
      <c r="I3" s="7" t="inlineStr">
        <is>
          <t>bônus 1</t>
        </is>
      </c>
      <c r="J3" s="8" t="inlineStr">
        <is>
          <t>Total</t>
        </is>
      </c>
      <c r="K3" s="1" t="n"/>
      <c r="L3" s="50">
        <f>J37+IF(AND(L31&gt;=13,L29&gt;=98%,L29&lt;=100%),600,0)</f>
        <v/>
      </c>
      <c r="M3" s="51" t="n"/>
      <c r="N3" s="1" t="n"/>
      <c r="O3" s="9" t="inlineStr">
        <is>
          <t>Gasolina</t>
        </is>
      </c>
      <c r="P3" s="9" t="inlineStr">
        <is>
          <t xml:space="preserve">Almoço </t>
        </is>
      </c>
      <c r="Q3" s="10" t="inlineStr">
        <is>
          <t xml:space="preserve">Besteira </t>
        </is>
      </c>
      <c r="R3" s="10" t="inlineStr">
        <is>
          <t>Carro</t>
        </is>
      </c>
      <c r="S3" s="11" t="inlineStr">
        <is>
          <t>Total</t>
        </is>
      </c>
      <c r="T3" s="1" t="n"/>
      <c r="U3" s="53" t="n"/>
      <c r="V3" s="54" t="n"/>
      <c r="W3" s="2" t="n"/>
    </row>
    <row r="4" ht="15.75" customHeight="1" s="45">
      <c r="A4" s="64" t="n">
        <v>1</v>
      </c>
      <c r="B4" s="30" t="n">
        <v>46321</v>
      </c>
      <c r="C4" s="12">
        <f>IF(B4="","",TEXT(WEEKDAY(B4),"dddd"))</f>
        <v/>
      </c>
      <c r="D4" s="16" t="n"/>
      <c r="E4" s="13">
        <f>IF(D4="","",VLOOKUP(D4,
{0,240;101,260;126,280;151,300;176,320;201,340;226,360;251,380;276,400;301,420;326,440;351,460;376,480},
2,TRUE)
+IF(WEEKDAY(B4,2)=7,48,0))</f>
        <v/>
      </c>
      <c r="F4" s="14" t="n"/>
      <c r="G4" s="18" t="n"/>
      <c r="H4" s="15">
        <f>IF(OR(F4="",G4="",F4=0),"",G4/F4)</f>
        <v/>
      </c>
      <c r="I4" s="31">
        <f>IF(H4=1,20,IF(AND(H4&gt;=98%,H4&lt;100%),10,0))</f>
        <v/>
      </c>
      <c r="J4" s="32">
        <f>E4+I4</f>
        <v/>
      </c>
      <c r="K4" s="1" t="n"/>
      <c r="L4" s="53" t="n"/>
      <c r="M4" s="54" t="n"/>
      <c r="N4" s="1" t="n"/>
      <c r="O4" s="33" t="n"/>
      <c r="P4" s="33" t="n"/>
      <c r="Q4" s="33" t="n"/>
      <c r="R4" s="33" t="n"/>
      <c r="S4" s="34">
        <f>O4+P4+Q4+R4</f>
        <v/>
      </c>
      <c r="T4" s="1" t="n"/>
      <c r="U4" s="43">
        <f>SUM(J4-S4)</f>
        <v/>
      </c>
      <c r="V4" s="44" t="n"/>
      <c r="W4" s="2" t="n"/>
    </row>
    <row r="5" ht="15.75" customHeight="1" s="45">
      <c r="B5" s="30" t="n">
        <v>46322</v>
      </c>
      <c r="C5" s="12">
        <f>IF(B5="","",TEXT(WEEKDAY(B5),"dddd"))</f>
        <v/>
      </c>
      <c r="D5" s="16" t="n"/>
      <c r="E5" s="13">
        <f>IF(D5="","",VLOOKUP(D5,
{0,240;101,260;126,280;151,300;176,320;201,340;226,360;251,380;276,400;301,420;326,440;351,460;376,480},
2,TRUE)
+IF(WEEKDAY(B5,2)=7,48,0))</f>
        <v/>
      </c>
      <c r="F5" s="17" t="n"/>
      <c r="G5" s="18" t="n"/>
      <c r="H5" s="15">
        <f>IF(OR(F5="",G5="",F5=0),"",G5/F5)</f>
        <v/>
      </c>
      <c r="I5" s="31">
        <f>IF(H5=1,20,IF(AND(H5&gt;=98%,H5&lt;100%),10,0))</f>
        <v/>
      </c>
      <c r="J5" s="32">
        <f>E5+I5</f>
        <v/>
      </c>
      <c r="K5" s="1" t="n"/>
      <c r="L5" s="1" t="n"/>
      <c r="M5" s="1" t="n"/>
      <c r="N5" s="1" t="n"/>
      <c r="O5" s="35" t="n"/>
      <c r="P5" s="35" t="n"/>
      <c r="Q5" s="33" t="n"/>
      <c r="R5" s="33" t="n"/>
      <c r="S5" s="34">
        <f>O5+P5+Q5+R5</f>
        <v/>
      </c>
      <c r="T5" s="1" t="n"/>
      <c r="U5" s="43">
        <f>SUM(J5-S5)</f>
        <v/>
      </c>
      <c r="V5" s="44" t="n"/>
      <c r="W5" s="2" t="n"/>
    </row>
    <row r="6" ht="15.75" customHeight="1" s="45">
      <c r="B6" s="30" t="n">
        <v>46323</v>
      </c>
      <c r="C6" s="12">
        <f>IF(B6="","",TEXT(WEEKDAY(B6),"dddd"))</f>
        <v/>
      </c>
      <c r="D6" s="16" t="n"/>
      <c r="E6" s="13">
        <f>IF(D6="","",VLOOKUP(D6,
{0,240;101,260;126,280;151,300;176,320;201,340;226,360;251,380;276,400;301,420;326,440;351,460;376,480},
2,TRUE)
+IF(WEEKDAY(B6,2)=7,48,0))</f>
        <v/>
      </c>
      <c r="F6" s="17" t="n"/>
      <c r="G6" s="18" t="n"/>
      <c r="H6" s="15">
        <f>IF(OR(F6="",G6="",F6=0),"",G6/F6)</f>
        <v/>
      </c>
      <c r="I6" s="31">
        <f>IF(H6=1,20,IF(AND(H6&gt;=98%,H6&lt;100%),10,0))</f>
        <v/>
      </c>
      <c r="J6" s="32">
        <f>E6+I6</f>
        <v/>
      </c>
      <c r="K6" s="1" t="n"/>
      <c r="L6" s="46" t="inlineStr">
        <is>
          <t>2ª Quizena</t>
        </is>
      </c>
      <c r="M6" s="47" t="n"/>
      <c r="N6" s="1" t="n"/>
      <c r="O6" s="35" t="n"/>
      <c r="P6" s="35" t="n"/>
      <c r="Q6" s="33" t="n"/>
      <c r="R6" s="33" t="n"/>
      <c r="S6" s="34">
        <f>O6+P6+Q6+R6</f>
        <v/>
      </c>
      <c r="T6" s="1" t="n"/>
      <c r="U6" s="43">
        <f>SUM(J6-S6)</f>
        <v/>
      </c>
      <c r="V6" s="44" t="n"/>
      <c r="W6" s="2" t="n"/>
    </row>
    <row r="7" ht="15.75" customHeight="1" s="45">
      <c r="B7" s="30" t="n">
        <v>46324</v>
      </c>
      <c r="C7" s="12">
        <f>IF(B7="","",TEXT(WEEKDAY(B7),"dddd"))</f>
        <v/>
      </c>
      <c r="D7" s="16" t="n"/>
      <c r="E7" s="13">
        <f>IF(D7="","",VLOOKUP(D7,
{0,240;101,260;126,280;151,300;176,320;201,340;226,360;251,380;276,400;301,420;326,440;351,460;376,480},
2,TRUE)
+IF(WEEKDAY(B7,2)=7,48,0))</f>
        <v/>
      </c>
      <c r="F7" s="17" t="n"/>
      <c r="G7" s="18" t="n"/>
      <c r="H7" s="15">
        <f>IF(OR(F7="",G7="",F7=0),"",G7/F7)</f>
        <v/>
      </c>
      <c r="I7" s="31">
        <f>IF(H7=1,20,IF(AND(H7&gt;=98%,H7&lt;100%),10,0))</f>
        <v/>
      </c>
      <c r="J7" s="32">
        <f>E7+I7</f>
        <v/>
      </c>
      <c r="K7" s="1" t="n"/>
      <c r="L7" s="48" t="n"/>
      <c r="M7" s="49" t="n"/>
      <c r="N7" s="1" t="n"/>
      <c r="O7" s="35" t="n"/>
      <c r="P7" s="35" t="n"/>
      <c r="Q7" s="33" t="n"/>
      <c r="R7" s="33" t="n"/>
      <c r="S7" s="34">
        <f>O7+P7+Q7+R7</f>
        <v/>
      </c>
      <c r="T7" s="1" t="n"/>
      <c r="U7" s="43">
        <f>SUM(J7-S7)</f>
        <v/>
      </c>
      <c r="V7" s="44" t="n"/>
      <c r="W7" s="2" t="n"/>
    </row>
    <row r="8" ht="15.75" customHeight="1" s="45">
      <c r="B8" s="30" t="n">
        <v>46325</v>
      </c>
      <c r="C8" s="12">
        <f>IF(B8="","",TEXT(WEEKDAY(B8),"dddd"))</f>
        <v/>
      </c>
      <c r="D8" s="16" t="n"/>
      <c r="E8" s="13">
        <f>IF(D8="","",VLOOKUP(D8,
{0,240;101,260;126,280;151,300;176,320;201,340;226,360;251,380;276,400;301,420;326,440;351,460;376,480},
2,TRUE)
+IF(WEEKDAY(B8,2)=7,48,0))</f>
        <v/>
      </c>
      <c r="F8" s="17" t="n"/>
      <c r="G8" s="18" t="n"/>
      <c r="H8" s="15">
        <f>IF(OR(F8="",G8="",F8=0),"",G8/F8)</f>
        <v/>
      </c>
      <c r="I8" s="31">
        <f>IF(H8=1,20,IF(AND(H8&gt;=98%,H8&lt;100%),10,0))</f>
        <v/>
      </c>
      <c r="J8" s="32">
        <f>E8+I8</f>
        <v/>
      </c>
      <c r="K8" s="1" t="n"/>
      <c r="L8" s="50">
        <f>J38+IF(AND(L36&gt;=13,L29&gt;=98%,L29&lt;=100%),600,0)</f>
        <v/>
      </c>
      <c r="M8" s="51" t="n"/>
      <c r="N8" s="1" t="n"/>
      <c r="O8" s="35" t="n"/>
      <c r="P8" s="35" t="n"/>
      <c r="Q8" s="33" t="n"/>
      <c r="R8" s="33" t="n"/>
      <c r="S8" s="34">
        <f>O8+P8+Q8+R8</f>
        <v/>
      </c>
      <c r="T8" s="1" t="n"/>
      <c r="U8" s="43">
        <f>SUM(J8-S8)</f>
        <v/>
      </c>
      <c r="V8" s="44" t="n"/>
      <c r="W8" s="2" t="n"/>
    </row>
    <row r="9" ht="15.75" customHeight="1" s="45">
      <c r="B9" s="30" t="n">
        <v>46326</v>
      </c>
      <c r="C9" s="12">
        <f>IF(B9="","",TEXT(WEEKDAY(B9),"dddd"))</f>
        <v/>
      </c>
      <c r="D9" s="16" t="n"/>
      <c r="E9" s="13">
        <f>IF(D9="","",VLOOKUP(D9,
{0,240;101,260;126,280;151,300;176,320;201,340;226,360;251,380;276,400;301,420;326,440;351,460;376,480},
2,TRUE)
+IF(WEEKDAY(B9,2)=7,48,0))</f>
        <v/>
      </c>
      <c r="F9" s="17" t="n"/>
      <c r="G9" s="18" t="n"/>
      <c r="H9" s="15">
        <f>IF(OR(F9="",G9="",F9=0),"",G9/F9)</f>
        <v/>
      </c>
      <c r="I9" s="31">
        <f>IF(H9=1,20,IF(AND(H9&gt;=98%,H9&lt;100%),10,0))</f>
        <v/>
      </c>
      <c r="J9" s="32">
        <f>E9+I9</f>
        <v/>
      </c>
      <c r="K9" s="1" t="n"/>
      <c r="L9" s="53" t="n"/>
      <c r="M9" s="54" t="n"/>
      <c r="N9" s="1" t="n"/>
      <c r="O9" s="35" t="n"/>
      <c r="P9" s="35" t="n"/>
      <c r="Q9" s="33" t="n"/>
      <c r="R9" s="33" t="n"/>
      <c r="S9" s="34">
        <f>O9+P9+Q9+R9</f>
        <v/>
      </c>
      <c r="T9" s="1" t="n"/>
      <c r="U9" s="43">
        <f>SUM(J9-S9)</f>
        <v/>
      </c>
      <c r="V9" s="44" t="n"/>
      <c r="W9" s="2" t="n"/>
    </row>
    <row r="10" ht="15.75" customHeight="1" s="45">
      <c r="B10" s="30" t="n">
        <v>46327</v>
      </c>
      <c r="C10" s="12">
        <f>IF(B10="","",TEXT(WEEKDAY(B10),"dddd"))</f>
        <v/>
      </c>
      <c r="D10" s="16" t="n"/>
      <c r="E10" s="13">
        <f>IF(D10="","",VLOOKUP(D10,
{0,240;101,260;126,280;151,300;176,320;201,340;226,360;251,380;276,400;301,420;326,440;351,460;376,480},
2,TRUE)
+IF(WEEKDAY(B10,2)=7,48,0))</f>
        <v/>
      </c>
      <c r="F10" s="17" t="n"/>
      <c r="G10" s="18" t="n"/>
      <c r="H10" s="15">
        <f>IF(OR(F10="",G10="",F10=0),"",G10/F10)</f>
        <v/>
      </c>
      <c r="I10" s="31">
        <f>IF(H10=1,20,IF(AND(H10&gt;=98%,H10&lt;100%),10,0))</f>
        <v/>
      </c>
      <c r="J10" s="32">
        <f>E10+I10</f>
        <v/>
      </c>
      <c r="K10" s="1" t="n"/>
      <c r="L10" s="1" t="n"/>
      <c r="M10" s="1" t="n"/>
      <c r="N10" s="1" t="n"/>
      <c r="O10" s="35" t="n"/>
      <c r="P10" s="35" t="n"/>
      <c r="Q10" s="33" t="n"/>
      <c r="R10" s="33" t="n"/>
      <c r="S10" s="34">
        <f>O10+P10+Q10+R10</f>
        <v/>
      </c>
      <c r="T10" s="1" t="n"/>
      <c r="U10" s="43">
        <f>SUM(J10-S10)</f>
        <v/>
      </c>
      <c r="V10" s="44" t="n"/>
      <c r="W10" s="2" t="n"/>
    </row>
    <row r="11" ht="15.75" customHeight="1" s="45">
      <c r="B11" s="30" t="n">
        <v>46328</v>
      </c>
      <c r="C11" s="12">
        <f>IF(B11="","",TEXT(WEEKDAY(B11),"dddd"))</f>
        <v/>
      </c>
      <c r="D11" s="16" t="n"/>
      <c r="E11" s="13">
        <f>IF(D11="","",VLOOKUP(D11,
{0,240;101,260;126,280;151,300;176,320;201,340;226,360;251,380;276,400;301,420;326,440;351,460;376,480},
2,TRUE)
+IF(WEEKDAY(B11,2)=7,48,0))</f>
        <v/>
      </c>
      <c r="F11" s="17" t="n"/>
      <c r="G11" s="18" t="n"/>
      <c r="H11" s="15">
        <f>IF(OR(F11="",G11="",F11=0),"",G11/F11)</f>
        <v/>
      </c>
      <c r="I11" s="31">
        <f>IF(H11=1,20,IF(AND(H11&gt;=98%,H11&lt;100%),10,0))</f>
        <v/>
      </c>
      <c r="J11" s="32">
        <f>E11+I11</f>
        <v/>
      </c>
      <c r="K11" s="1" t="n"/>
      <c r="L11" s="46" t="inlineStr">
        <is>
          <t>Total/Ganho</t>
        </is>
      </c>
      <c r="M11" s="47" t="n"/>
      <c r="N11" s="1" t="n"/>
      <c r="O11" s="35" t="n"/>
      <c r="P11" s="35" t="n"/>
      <c r="Q11" s="33" t="n"/>
      <c r="R11" s="33" t="n"/>
      <c r="S11" s="34">
        <f>O11+P11+Q11+R11</f>
        <v/>
      </c>
      <c r="T11" s="1" t="n"/>
      <c r="U11" s="43">
        <f>SUM(J11-S11)</f>
        <v/>
      </c>
      <c r="V11" s="44" t="n"/>
      <c r="W11" s="2" t="n"/>
    </row>
    <row r="12" ht="15.75" customHeight="1" s="45">
      <c r="B12" s="30" t="n">
        <v>46329</v>
      </c>
      <c r="C12" s="12">
        <f>IF(B12="","",TEXT(WEEKDAY(B12),"dddd"))</f>
        <v/>
      </c>
      <c r="D12" s="16" t="n"/>
      <c r="E12" s="13">
        <f>IF(D12="","",VLOOKUP(D12,
{0,240;101,260;126,280;151,300;176,320;201,340;226,360;251,380;276,400;301,420;326,440;351,460;376,480},
2,TRUE)
+IF(WEEKDAY(B12,2)=7,48,0))</f>
        <v/>
      </c>
      <c r="F12" s="17" t="n"/>
      <c r="G12" s="18" t="n"/>
      <c r="H12" s="15">
        <f>IF(OR(F12="",G12="",F12=0),"",G12/F12)</f>
        <v/>
      </c>
      <c r="I12" s="31">
        <f>IF(H12=1,20,IF(AND(H12&gt;=98%,H12&lt;100%),10,0))</f>
        <v/>
      </c>
      <c r="J12" s="32">
        <f>E12+I12</f>
        <v/>
      </c>
      <c r="K12" s="1" t="n"/>
      <c r="L12" s="48" t="n"/>
      <c r="M12" s="49" t="n"/>
      <c r="N12" s="1" t="n"/>
      <c r="O12" s="35" t="n"/>
      <c r="P12" s="35" t="n"/>
      <c r="Q12" s="33" t="n"/>
      <c r="R12" s="33" t="n"/>
      <c r="S12" s="34">
        <f>O12+P12+Q12+R12</f>
        <v/>
      </c>
      <c r="T12" s="1" t="n"/>
      <c r="U12" s="43">
        <f>SUM(J12-S12)</f>
        <v/>
      </c>
      <c r="V12" s="44" t="n"/>
      <c r="W12" s="2" t="n"/>
    </row>
    <row r="13" ht="15.75" customHeight="1" s="45">
      <c r="B13" s="30" t="n">
        <v>46330</v>
      </c>
      <c r="C13" s="12">
        <f>IF(B13="","",TEXT(WEEKDAY(B13),"dddd"))</f>
        <v/>
      </c>
      <c r="D13" s="16" t="n"/>
      <c r="E13" s="13">
        <f>IF(D13="","",VLOOKUP(D13,
{0,240;101,260;126,280;151,300;176,320;201,340;226,360;251,380;276,400;301,420;326,440;351,460;376,480},
2,TRUE)
+IF(WEEKDAY(B13,2)=7,48,0))</f>
        <v/>
      </c>
      <c r="F13" s="17" t="n"/>
      <c r="G13" s="18" t="n"/>
      <c r="H13" s="15">
        <f>IF(OR(F13="",G13="",F13=0),"",G13/F13)</f>
        <v/>
      </c>
      <c r="I13" s="31">
        <f>IF(H13=1,20,IF(AND(H13&gt;=98%,H13&lt;100%),10,0))</f>
        <v/>
      </c>
      <c r="J13" s="32">
        <f>E13+I13</f>
        <v/>
      </c>
      <c r="K13" s="1" t="n"/>
      <c r="L13" s="50">
        <f>SUM(L3+L8)</f>
        <v/>
      </c>
      <c r="M13" s="51" t="n"/>
      <c r="N13" s="1" t="n"/>
      <c r="O13" s="35" t="n"/>
      <c r="P13" s="35" t="n"/>
      <c r="Q13" s="33" t="n"/>
      <c r="R13" s="33" t="n"/>
      <c r="S13" s="34">
        <f>O13+P13+Q13+R13</f>
        <v/>
      </c>
      <c r="T13" s="1" t="n"/>
      <c r="U13" s="43">
        <f>SUM(J13-S13)</f>
        <v/>
      </c>
      <c r="V13" s="44" t="n"/>
      <c r="W13" s="2" t="n"/>
    </row>
    <row r="14" ht="15.75" customHeight="1" s="45">
      <c r="B14" s="30" t="n">
        <v>46331</v>
      </c>
      <c r="C14" s="12">
        <f>IF(B14="","",TEXT(WEEKDAY(B14),"dddd"))</f>
        <v/>
      </c>
      <c r="D14" s="16" t="n"/>
      <c r="E14" s="13">
        <f>IF(D14="","",VLOOKUP(D14,
{0,240;101,260;126,280;151,300;176,320;201,340;226,360;251,380;276,400;301,420;326,440;351,460;376,480},
2,TRUE)
+IF(WEEKDAY(B14,2)=7,48,0))</f>
        <v/>
      </c>
      <c r="F14" s="17" t="n"/>
      <c r="G14" s="18" t="n"/>
      <c r="H14" s="15">
        <f>IF(OR(F14="",G14="",F14=0),"",G14/F14)</f>
        <v/>
      </c>
      <c r="I14" s="31">
        <f>IF(H14=1,20,IF(AND(H14&gt;=98%,H14&lt;100%),10,0))</f>
        <v/>
      </c>
      <c r="J14" s="32">
        <f>E14+I14</f>
        <v/>
      </c>
      <c r="K14" s="1" t="n"/>
      <c r="L14" s="52" t="n"/>
      <c r="M14" s="51" t="n"/>
      <c r="N14" s="1" t="n"/>
      <c r="O14" s="35" t="n"/>
      <c r="P14" s="35" t="n"/>
      <c r="Q14" s="33" t="n"/>
      <c r="R14" s="33" t="n"/>
      <c r="S14" s="34">
        <f>O14+P14+Q14+R14</f>
        <v/>
      </c>
      <c r="T14" s="1" t="n"/>
      <c r="U14" s="43">
        <f>SUM(J14-S14)</f>
        <v/>
      </c>
      <c r="V14" s="44" t="n"/>
      <c r="W14" s="2" t="n"/>
    </row>
    <row r="15" ht="15.75" customHeight="1" s="45">
      <c r="B15" s="30" t="n">
        <v>46332</v>
      </c>
      <c r="C15" s="12">
        <f>IF(B15="","",TEXT(WEEKDAY(B15),"dddd"))</f>
        <v/>
      </c>
      <c r="D15" s="16" t="n"/>
      <c r="E15" s="13">
        <f>IF(D15="","",VLOOKUP(D15,
{0,240;101,260;126,280;151,300;176,320;201,340;226,360;251,380;276,400;301,420;326,440;351,460;376,480},
2,TRUE)
+IF(WEEKDAY(B15,2)=7,48,0))</f>
        <v/>
      </c>
      <c r="F15" s="17" t="n"/>
      <c r="G15" s="18" t="n"/>
      <c r="H15" s="15">
        <f>IF(OR(F15="",G15="",F15=0),"",G15/F15)</f>
        <v/>
      </c>
      <c r="I15" s="31">
        <f>IF(H15=1,20,IF(AND(H15&gt;=98%,H15&lt;100%),10,0))</f>
        <v/>
      </c>
      <c r="J15" s="32">
        <f>E15+I15</f>
        <v/>
      </c>
      <c r="K15" s="1" t="n"/>
      <c r="L15" s="53" t="n"/>
      <c r="M15" s="54" t="n"/>
      <c r="N15" s="1" t="n"/>
      <c r="O15" s="35" t="n"/>
      <c r="P15" s="35" t="n"/>
      <c r="Q15" s="33" t="n"/>
      <c r="R15" s="33" t="n"/>
      <c r="S15" s="34">
        <f>O15+P15+Q15+R15</f>
        <v/>
      </c>
      <c r="T15" s="1" t="n"/>
      <c r="U15" s="43">
        <f>SUM(J15-S15)</f>
        <v/>
      </c>
      <c r="V15" s="44" t="n"/>
      <c r="W15" s="2" t="n"/>
    </row>
    <row r="16" ht="15.75" customHeight="1" s="45">
      <c r="B16" s="30" t="n">
        <v>46333</v>
      </c>
      <c r="C16" s="12">
        <f>IF(B16="","",TEXT(WEEKDAY(B16),"dddd"))</f>
        <v/>
      </c>
      <c r="D16" s="16" t="n"/>
      <c r="E16" s="13">
        <f>IF(D16="","",VLOOKUP(D16,
{0,240;101,260;126,280;151,300;176,320;201,340;226,360;251,380;276,400;301,420;326,440;351,460;376,480},
2,TRUE)
+IF(WEEKDAY(B16,2)=7,48,0))</f>
        <v/>
      </c>
      <c r="F16" s="17" t="n"/>
      <c r="G16" s="18" t="n"/>
      <c r="H16" s="15">
        <f>IF(OR(F16="",G16="",F16=0),"",G16/F16)</f>
        <v/>
      </c>
      <c r="I16" s="31">
        <f>IF(H16=1,20,IF(AND(H16&gt;=98%,H16&lt;100%),10,0))</f>
        <v/>
      </c>
      <c r="J16" s="32">
        <f>E16+I16</f>
        <v/>
      </c>
      <c r="K16" s="1" t="n"/>
      <c r="L16" s="1" t="n"/>
      <c r="M16" s="1" t="n"/>
      <c r="N16" s="1" t="n"/>
      <c r="O16" s="35" t="n"/>
      <c r="P16" s="35" t="n"/>
      <c r="Q16" s="33" t="n"/>
      <c r="R16" s="33" t="n"/>
      <c r="S16" s="34">
        <f>O16+P16+Q16+R16</f>
        <v/>
      </c>
      <c r="T16" s="1" t="n"/>
      <c r="U16" s="43">
        <f>SUM(J16-S16)</f>
        <v/>
      </c>
      <c r="V16" s="44" t="n"/>
      <c r="W16" s="2" t="n"/>
    </row>
    <row r="17" ht="15.75" customHeight="1" s="45">
      <c r="B17" s="30" t="n">
        <v>46334</v>
      </c>
      <c r="C17" s="12">
        <f>IF(B17="","",TEXT(WEEKDAY(B17),"dddd"))</f>
        <v/>
      </c>
      <c r="D17" s="16" t="n"/>
      <c r="E17" s="13">
        <f>IF(D17="","",VLOOKUP(D17,
{0,240;101,260;126,280;151,300;176,320;201,340;226,360;251,380;276,400;301,420;326,440;351,460;376,480},
2,TRUE)
+IF(WEEKDAY(B17,2)=7,48,0))</f>
        <v/>
      </c>
      <c r="F17" s="17" t="n"/>
      <c r="G17" s="18" t="n"/>
      <c r="H17" s="15">
        <f>IF(OR(F17="",G17="",F17=0),"",G17/F17)</f>
        <v/>
      </c>
      <c r="I17" s="31">
        <f>IF(H17=1,20,IF(AND(H17&gt;=98%,H17&lt;100%),10,0))</f>
        <v/>
      </c>
      <c r="J17" s="32">
        <f>E17+I17</f>
        <v/>
      </c>
      <c r="K17" s="1" t="n"/>
      <c r="L17" s="46" t="inlineStr">
        <is>
          <t>Total/Gasto</t>
        </is>
      </c>
      <c r="M17" s="47" t="n"/>
      <c r="N17" s="1" t="n"/>
      <c r="O17" s="35" t="n"/>
      <c r="P17" s="35" t="n"/>
      <c r="Q17" s="33" t="n"/>
      <c r="R17" s="33" t="n"/>
      <c r="S17" s="34">
        <f>O17+P17+Q17+R17</f>
        <v/>
      </c>
      <c r="T17" s="1" t="n"/>
      <c r="U17" s="43">
        <f>SUM(J17-S17)</f>
        <v/>
      </c>
      <c r="V17" s="44" t="n"/>
      <c r="W17" s="2" t="n"/>
    </row>
    <row r="18" ht="15.75" customHeight="1" s="45">
      <c r="B18" s="30" t="n">
        <v>46335</v>
      </c>
      <c r="C18" s="12">
        <f>IF(B18="","",TEXT(WEEKDAY(B18),"dddd"))</f>
        <v/>
      </c>
      <c r="D18" s="16" t="n"/>
      <c r="E18" s="13">
        <f>IF(D18="","",VLOOKUP(D18,
{0,240;101,260;126,280;151,300;176,320;201,340;226,360;251,380;276,400;301,420;326,440;351,460;376,480},
2,TRUE)
+IF(WEEKDAY(B18,2)=7,48,0))</f>
        <v/>
      </c>
      <c r="F18" s="17" t="n"/>
      <c r="G18" s="18" t="n"/>
      <c r="H18" s="15">
        <f>IF(OR(F18="",G18="",F18=0),"",G18/F18)</f>
        <v/>
      </c>
      <c r="I18" s="31">
        <f>IF(H18=1,20,IF(AND(H18&gt;=98%,H18&lt;100%),10,0))</f>
        <v/>
      </c>
      <c r="J18" s="32">
        <f>E18+I18</f>
        <v/>
      </c>
      <c r="K18" s="1" t="n"/>
      <c r="L18" s="48" t="n"/>
      <c r="M18" s="49" t="n"/>
      <c r="N18" s="1" t="n"/>
      <c r="O18" s="35" t="n"/>
      <c r="P18" s="35" t="n"/>
      <c r="Q18" s="33" t="n"/>
      <c r="R18" s="33" t="n"/>
      <c r="S18" s="34">
        <f>O18+P18+Q18+R18</f>
        <v/>
      </c>
      <c r="T18" s="1" t="n"/>
      <c r="U18" s="43">
        <f>SUM(J18-S18)</f>
        <v/>
      </c>
      <c r="V18" s="44" t="n"/>
      <c r="W18" s="2" t="n"/>
    </row>
    <row r="19" ht="15.75" customHeight="1" s="45">
      <c r="B19" s="30" t="n">
        <v>46336</v>
      </c>
      <c r="C19" s="12">
        <f>IF(B19="","",TEXT(WEEKDAY(B19),"dddd"))</f>
        <v/>
      </c>
      <c r="D19" s="16" t="n"/>
      <c r="E19" s="13">
        <f>IF(D19="","",VLOOKUP(D19,
{0,240;101,260;126,280;151,300;176,320;201,340;226,360;251,380;276,400;301,420;326,440;351,460;376,480},
2,TRUE)
+IF(WEEKDAY(B19,2)=7,48,0))</f>
        <v/>
      </c>
      <c r="F19" s="17" t="n"/>
      <c r="G19" s="18" t="n"/>
      <c r="H19" s="15">
        <f>IF(OR(F19="",G19="",F19=0),"",G19/F19)</f>
        <v/>
      </c>
      <c r="I19" s="31">
        <f>IF(H19=1,20,IF(AND(H19&gt;=98%,H19&lt;100%),10,0))</f>
        <v/>
      </c>
      <c r="J19" s="32">
        <f>E19+I19</f>
        <v/>
      </c>
      <c r="K19" s="1" t="n"/>
      <c r="L19" s="57">
        <f>SUM(S4:S35)</f>
        <v/>
      </c>
      <c r="M19" s="51" t="n"/>
      <c r="N19" s="1" t="n"/>
      <c r="O19" s="35" t="n"/>
      <c r="P19" s="35" t="n"/>
      <c r="Q19" s="33" t="n"/>
      <c r="R19" s="33" t="n"/>
      <c r="S19" s="34">
        <f>O19+P19+Q19+R19</f>
        <v/>
      </c>
      <c r="T19" s="1" t="n"/>
      <c r="U19" s="43">
        <f>SUM(J19-S19)</f>
        <v/>
      </c>
      <c r="V19" s="44" t="n"/>
      <c r="W19" s="2" t="n"/>
    </row>
    <row r="20" ht="15.75" customHeight="1" s="45">
      <c r="A20" s="36" t="n"/>
      <c r="B20" s="37" t="n"/>
      <c r="C20" s="19" t="n"/>
      <c r="D20" s="20" t="n"/>
      <c r="E20" s="21" t="n"/>
      <c r="F20" s="22" t="n"/>
      <c r="G20" s="23" t="n"/>
      <c r="H20" s="24" t="n"/>
      <c r="I20" s="38" t="n"/>
      <c r="J20" s="25" t="n"/>
      <c r="K20" s="1" t="n"/>
      <c r="L20" s="52" t="n"/>
      <c r="M20" s="51" t="n"/>
      <c r="N20" s="1" t="n"/>
      <c r="O20" s="39" t="n"/>
      <c r="P20" s="39" t="n"/>
      <c r="Q20" s="40" t="n"/>
      <c r="R20" s="40" t="n"/>
      <c r="S20" s="40" t="n"/>
      <c r="T20" s="1" t="n"/>
      <c r="U20" s="59" t="n"/>
      <c r="V20" s="44" t="n"/>
      <c r="W20" s="2" t="n"/>
    </row>
    <row r="21" ht="15.75" customHeight="1" s="45">
      <c r="A21" s="64" t="n">
        <v>2</v>
      </c>
      <c r="B21" s="30" t="n">
        <v>46337</v>
      </c>
      <c r="C21" s="12">
        <f>IF(B21="","",TEXT(WEEKDAY(B21),"dddd"))</f>
        <v/>
      </c>
      <c r="D21" s="16" t="n"/>
      <c r="E21" s="13">
        <f>IF(D21="","",VLOOKUP(D21,
{0,240;101,260;126,280;151,300;176,320;201,340;226,360;251,380;276,400;301,420;326,440;351,460;376,480},
2,TRUE)
+IF(WEEKDAY(B21,2)=7,48,0))</f>
        <v/>
      </c>
      <c r="F21" s="17" t="n"/>
      <c r="G21" s="18" t="n"/>
      <c r="H21" s="15">
        <f>IF(OR(F21="",G21="",F21=0),"",G21/F21)</f>
        <v/>
      </c>
      <c r="I21" s="31">
        <f>IF(H21=1,20,IF(AND(H21&gt;=98%,H21&lt;100%),10,0))</f>
        <v/>
      </c>
      <c r="J21" s="32">
        <f>E21+I21</f>
        <v/>
      </c>
      <c r="K21" s="1" t="n"/>
      <c r="L21" s="53" t="n"/>
      <c r="M21" s="54" t="n"/>
      <c r="N21" s="1" t="n"/>
      <c r="O21" s="35" t="n"/>
      <c r="P21" s="35" t="n"/>
      <c r="Q21" s="33" t="n"/>
      <c r="R21" s="33" t="n"/>
      <c r="S21" s="34">
        <f>O21+P21+Q21+R21</f>
        <v/>
      </c>
      <c r="T21" s="1" t="n"/>
      <c r="U21" s="43">
        <f>SUM(J21-S21)</f>
        <v/>
      </c>
      <c r="V21" s="44" t="n"/>
      <c r="W21" s="2" t="n"/>
    </row>
    <row r="22" ht="15.75" customHeight="1" s="45">
      <c r="B22" s="30" t="n">
        <v>46338</v>
      </c>
      <c r="C22" s="12">
        <f>IF(B22="","",TEXT(WEEKDAY(B22),"dddd"))</f>
        <v/>
      </c>
      <c r="D22" s="16" t="n"/>
      <c r="E22" s="13">
        <f>IF(D22="","",VLOOKUP(D22,
{0,240;101,260;126,280;151,300;176,320;201,340;226,360;251,380;276,400;301,420;326,440;351,460;376,480},
2,TRUE)
+IF(WEEKDAY(B22,2)=7,48,0))</f>
        <v/>
      </c>
      <c r="F22" s="17" t="n"/>
      <c r="G22" s="18" t="n"/>
      <c r="H22" s="15">
        <f>IF(OR(F22="",G22="",F22=0),"",G22/F22)</f>
        <v/>
      </c>
      <c r="I22" s="31">
        <f>IF(H22=1,20,IF(AND(H22&gt;=98%,H22&lt;100%),10,0))</f>
        <v/>
      </c>
      <c r="J22" s="32">
        <f>E22+I22</f>
        <v/>
      </c>
      <c r="K22" s="1" t="n"/>
      <c r="L22" s="46" t="inlineStr">
        <is>
          <t>Total/Lucro</t>
        </is>
      </c>
      <c r="M22" s="47" t="n"/>
      <c r="N22" s="1" t="n"/>
      <c r="O22" s="35" t="n"/>
      <c r="P22" s="35" t="n"/>
      <c r="Q22" s="33" t="n"/>
      <c r="R22" s="33" t="n"/>
      <c r="S22" s="34">
        <f>O22+P22+Q22+R22</f>
        <v/>
      </c>
      <c r="T22" s="1" t="n"/>
      <c r="U22" s="43">
        <f>SUM(J22-S22)</f>
        <v/>
      </c>
      <c r="V22" s="44" t="n"/>
      <c r="W22" s="2" t="n"/>
    </row>
    <row r="23" ht="15.75" customHeight="1" s="45">
      <c r="B23" s="30" t="n">
        <v>46339</v>
      </c>
      <c r="C23" s="12">
        <f>IF(B23="","",TEXT(WEEKDAY(B23),"dddd"))</f>
        <v/>
      </c>
      <c r="D23" s="16" t="n"/>
      <c r="E23" s="13">
        <f>IF(D23="","",VLOOKUP(D23,
{0,240;101,260;126,280;151,300;176,320;201,340;226,360;251,380;276,400;301,420;326,440;351,460;376,480},
2,TRUE)
+IF(WEEKDAY(B23,2)=7,48,0))</f>
        <v/>
      </c>
      <c r="F23" s="17" t="n"/>
      <c r="G23" s="18" t="n"/>
      <c r="H23" s="15">
        <f>IF(OR(F23="",G23="",F23=0),"",G23/F23)</f>
        <v/>
      </c>
      <c r="I23" s="31">
        <f>IF(H23=1,20,IF(AND(H23&gt;=98%,H23&lt;100%),10,0))</f>
        <v/>
      </c>
      <c r="J23" s="32">
        <f>E23+I23</f>
        <v/>
      </c>
      <c r="K23" s="1" t="n"/>
      <c r="L23" s="48" t="n"/>
      <c r="M23" s="49" t="n"/>
      <c r="N23" s="1" t="n"/>
      <c r="O23" s="35" t="n"/>
      <c r="P23" s="35" t="n"/>
      <c r="Q23" s="33" t="n"/>
      <c r="R23" s="33" t="n"/>
      <c r="S23" s="34">
        <f>O23+P23+Q23+R23</f>
        <v/>
      </c>
      <c r="T23" s="1" t="n"/>
      <c r="U23" s="43">
        <f>SUM(J23-S23)</f>
        <v/>
      </c>
      <c r="V23" s="44" t="n"/>
      <c r="W23" s="2" t="n"/>
    </row>
    <row r="24" ht="15.75" customHeight="1" s="45">
      <c r="B24" s="30" t="n">
        <v>46340</v>
      </c>
      <c r="C24" s="12">
        <f>IF(B24="","",TEXT(WEEKDAY(B24),"dddd"))</f>
        <v/>
      </c>
      <c r="D24" s="16" t="n"/>
      <c r="E24" s="13">
        <f>IF(D24="","",VLOOKUP(D24,
{0,240;101,260;126,280;151,300;176,320;201,340;226,360;251,380;276,400;301,420;326,440;351,460;376,480},
2,TRUE)
+IF(WEEKDAY(B24,2)=7,48,0))</f>
        <v/>
      </c>
      <c r="F24" s="17" t="n"/>
      <c r="G24" s="18" t="n"/>
      <c r="H24" s="15">
        <f>IF(OR(F24="",G24="",F24=0),"",G24/F24)</f>
        <v/>
      </c>
      <c r="I24" s="31">
        <f>IF(H24=1,20,IF(AND(H24&gt;=98%,H24&lt;100%),10,0))</f>
        <v/>
      </c>
      <c r="J24" s="32">
        <f>E24+I24</f>
        <v/>
      </c>
      <c r="K24" s="1" t="n"/>
      <c r="L24" s="60">
        <f>SUM(L13-L19)</f>
        <v/>
      </c>
      <c r="M24" s="51" t="n"/>
      <c r="N24" s="1" t="n"/>
      <c r="O24" s="35" t="n"/>
      <c r="P24" s="35" t="n"/>
      <c r="Q24" s="33" t="n"/>
      <c r="R24" s="33" t="n"/>
      <c r="S24" s="34">
        <f>O24+P24+Q24+R24</f>
        <v/>
      </c>
      <c r="T24" s="1" t="n"/>
      <c r="U24" s="43">
        <f>SUM(J24-S24)</f>
        <v/>
      </c>
      <c r="V24" s="44" t="n"/>
      <c r="W24" s="2" t="n"/>
    </row>
    <row r="25" ht="15.75" customHeight="1" s="45">
      <c r="B25" s="30" t="n">
        <v>46341</v>
      </c>
      <c r="C25" s="12">
        <f>IF(B25="","",TEXT(WEEKDAY(B25),"dddd"))</f>
        <v/>
      </c>
      <c r="D25" s="16" t="n"/>
      <c r="E25" s="13">
        <f>IF(D25="","",VLOOKUP(D25,
{0,240;101,260;126,280;151,300;176,320;201,340;226,360;251,380;276,400;301,420;326,440;351,460;376,480},
2,TRUE)
+IF(WEEKDAY(B25,2)=7,48,0))</f>
        <v/>
      </c>
      <c r="F25" s="17" t="n"/>
      <c r="G25" s="18" t="n"/>
      <c r="H25" s="15">
        <f>IF(OR(F25="",G25="",F25=0),"",G25/F25)</f>
        <v/>
      </c>
      <c r="I25" s="31">
        <f>IF(H25=1,20,IF(AND(H25&gt;=98%,H25&lt;100%),10,0))</f>
        <v/>
      </c>
      <c r="J25" s="32">
        <f>E25+I25</f>
        <v/>
      </c>
      <c r="K25" s="1" t="n"/>
      <c r="L25" s="53" t="n"/>
      <c r="M25" s="54" t="n"/>
      <c r="N25" s="1" t="n"/>
      <c r="O25" s="35" t="n"/>
      <c r="P25" s="35" t="n"/>
      <c r="Q25" s="33" t="n"/>
      <c r="R25" s="33" t="n"/>
      <c r="S25" s="34">
        <f>O25+P25+Q25+R25</f>
        <v/>
      </c>
      <c r="T25" s="1" t="n"/>
      <c r="U25" s="43">
        <f>SUM(J25-S25)</f>
        <v/>
      </c>
      <c r="V25" s="44" t="n"/>
      <c r="W25" s="2" t="n"/>
    </row>
    <row r="26" ht="15.75" customHeight="1" s="45">
      <c r="B26" s="30" t="n">
        <v>46342</v>
      </c>
      <c r="C26" s="12">
        <f>IF(B26="","",TEXT(WEEKDAY(B26),"dddd"))</f>
        <v/>
      </c>
      <c r="D26" s="16" t="n"/>
      <c r="E26" s="13">
        <f>IF(D26="","",VLOOKUP(D26,
{0,240;101,260;126,280;151,300;176,320;201,340;226,360;251,380;276,400;301,420;326,440;351,460;376,480},
2,TRUE)
+IF(WEEKDAY(B26,2)=7,48,0))</f>
        <v/>
      </c>
      <c r="F26" s="17" t="n"/>
      <c r="G26" s="18" t="n"/>
      <c r="H26" s="15">
        <f>IF(OR(F26="",G26="",F26=0),"",G26/F26)</f>
        <v/>
      </c>
      <c r="I26" s="31">
        <f>IF(H26=1,20,IF(AND(H26&gt;=98%,H26&lt;100%),10,0))</f>
        <v/>
      </c>
      <c r="J26" s="32">
        <f>E26+I26</f>
        <v/>
      </c>
      <c r="K26" s="1" t="n"/>
      <c r="L26" s="1" t="n"/>
      <c r="M26" s="1" t="n"/>
      <c r="N26" s="1" t="n"/>
      <c r="O26" s="35" t="n"/>
      <c r="P26" s="35" t="n"/>
      <c r="Q26" s="33" t="n"/>
      <c r="R26" s="33" t="n"/>
      <c r="S26" s="34">
        <f>O26+P26+Q26+R26</f>
        <v/>
      </c>
      <c r="T26" s="1" t="n"/>
      <c r="U26" s="43">
        <f>SUM(J26-S26)</f>
        <v/>
      </c>
      <c r="V26" s="44" t="n"/>
      <c r="W26" s="2" t="n"/>
    </row>
    <row r="27" ht="15.75" customHeight="1" s="45">
      <c r="B27" s="30" t="n">
        <v>46343</v>
      </c>
      <c r="C27" s="12">
        <f>IF(B27="","",TEXT(WEEKDAY(B27),"dddd"))</f>
        <v/>
      </c>
      <c r="D27" s="16" t="n"/>
      <c r="E27" s="13">
        <f>IF(D27="","",VLOOKUP(D27,
{0,240;101,260;126,280;151,300;176,320;201,340;226,360;251,380;276,400;301,420;326,440;351,460;376,480},
2,TRUE)
+IF(WEEKDAY(B27,2)=7,48,0))</f>
        <v/>
      </c>
      <c r="F27" s="17" t="n"/>
      <c r="G27" s="18" t="n"/>
      <c r="H27" s="15">
        <f>IF(OR(F27="",G27="",F27=0),"",G27/F27)</f>
        <v/>
      </c>
      <c r="I27" s="31">
        <f>IF(H27=1,20,IF(AND(H27&gt;=98%,H27&lt;100%),10,0))</f>
        <v/>
      </c>
      <c r="J27" s="32">
        <f>E27+I27</f>
        <v/>
      </c>
      <c r="K27" s="1" t="n"/>
      <c r="L27" s="66" t="inlineStr">
        <is>
          <t>1ª bônus 600</t>
        </is>
      </c>
      <c r="M27" s="56" t="n"/>
      <c r="N27" s="1" t="n"/>
      <c r="O27" s="35" t="n"/>
      <c r="P27" s="35" t="n"/>
      <c r="Q27" s="33" t="n"/>
      <c r="R27" s="33" t="n"/>
      <c r="S27" s="34">
        <f>O27+P27+Q27+R27</f>
        <v/>
      </c>
      <c r="T27" s="1" t="n"/>
      <c r="U27" s="43">
        <f>SUM(J27-S27)</f>
        <v/>
      </c>
      <c r="V27" s="44" t="n"/>
      <c r="W27" s="2" t="n"/>
    </row>
    <row r="28" ht="15.75" customHeight="1" s="45">
      <c r="B28" s="30" t="n">
        <v>46344</v>
      </c>
      <c r="C28" s="12">
        <f>IF(B28="","",TEXT(WEEKDAY(B28),"dddd"))</f>
        <v/>
      </c>
      <c r="D28" s="16" t="n"/>
      <c r="E28" s="13">
        <f>IF(D28="","",VLOOKUP(D28,
{0,240;101,260;126,280;151,300;176,320;201,340;226,360;251,380;276,400;301,420;326,440;351,460;376,480},
2,TRUE)
+IF(WEEKDAY(B28,2)=7,48,0))</f>
        <v/>
      </c>
      <c r="F28" s="17" t="n"/>
      <c r="G28" s="18" t="n"/>
      <c r="H28" s="15">
        <f>IF(OR(F28="",G28="",F28=0),"",G28/F28)</f>
        <v/>
      </c>
      <c r="I28" s="31">
        <f>IF(H28=1,20,IF(AND(H28&gt;=98%,H28&lt;100%),10,0))</f>
        <v/>
      </c>
      <c r="J28" s="32">
        <f>E28+I28</f>
        <v/>
      </c>
      <c r="K28" s="1" t="n"/>
      <c r="L28" s="53" t="n"/>
      <c r="M28" s="54" t="n"/>
      <c r="N28" s="1" t="n"/>
      <c r="O28" s="35" t="n"/>
      <c r="P28" s="35" t="n"/>
      <c r="Q28" s="33" t="n"/>
      <c r="R28" s="33" t="n"/>
      <c r="S28" s="34">
        <f>O28+P28+Q28+R28</f>
        <v/>
      </c>
      <c r="T28" s="1" t="n"/>
      <c r="U28" s="43">
        <f>SUM(J28-S28)</f>
        <v/>
      </c>
      <c r="V28" s="44" t="n"/>
      <c r="W28" s="2" t="n"/>
    </row>
    <row r="29" ht="15.75" customHeight="1" s="45">
      <c r="B29" s="30" t="n">
        <v>46345</v>
      </c>
      <c r="C29" s="12">
        <f>IF(B29="","",TEXT(WEEKDAY(B29),"dddd"))</f>
        <v/>
      </c>
      <c r="D29" s="16" t="n"/>
      <c r="E29" s="13">
        <f>IF(D29="","",VLOOKUP(D29,
{0,240;101,260;126,280;151,300;176,320;201,340;226,360;251,380;276,400;301,420;326,440;351,460;376,480},
2,TRUE)
+IF(WEEKDAY(B29,2)=7,48,0))</f>
        <v/>
      </c>
      <c r="F29" s="17" t="n"/>
      <c r="G29" s="18" t="n"/>
      <c r="H29" s="15">
        <f>IF(OR(F29="",G29="",F29=0),"",G29/F29)</f>
        <v/>
      </c>
      <c r="I29" s="31">
        <f>IF(H29=1,20,IF(AND(H29&gt;=98%,H29&lt;100%),10,0))</f>
        <v/>
      </c>
      <c r="J29" s="32">
        <f>E29+I29</f>
        <v/>
      </c>
      <c r="K29" s="1" t="n"/>
      <c r="L29" s="55">
        <f>IF(OR(F37="",G37="",F37=0),"",G37/F37)</f>
        <v/>
      </c>
      <c r="M29" s="56" t="n"/>
      <c r="N29" s="1" t="n"/>
      <c r="O29" s="35" t="n"/>
      <c r="P29" s="35" t="n"/>
      <c r="Q29" s="33" t="n"/>
      <c r="R29" s="33" t="n"/>
      <c r="S29" s="34">
        <f>O29+P29+Q29+R29</f>
        <v/>
      </c>
      <c r="T29" s="1" t="n"/>
      <c r="U29" s="43">
        <f>SUM(J29-S29)</f>
        <v/>
      </c>
      <c r="V29" s="44" t="n"/>
      <c r="W29" s="2" t="n"/>
    </row>
    <row r="30" ht="15.75" customHeight="1" s="45">
      <c r="B30" s="30" t="n">
        <v>46346</v>
      </c>
      <c r="C30" s="12">
        <f>IF(B30="","",TEXT(WEEKDAY(B30),"dddd"))</f>
        <v/>
      </c>
      <c r="D30" s="16" t="n"/>
      <c r="E30" s="13">
        <f>IF(D30="","",VLOOKUP(D30,
{0,240;101,260;126,280;151,300;176,320;201,340;226,360;251,380;276,400;301,420;326,440;351,460;376,480},
2,TRUE)
+IF(WEEKDAY(B30,2)=7,48,0))</f>
        <v/>
      </c>
      <c r="F30" s="17" t="n"/>
      <c r="G30" s="18" t="n"/>
      <c r="H30" s="15">
        <f>IF(OR(F30="",G30="",F30=0),"",G30/F30)</f>
        <v/>
      </c>
      <c r="I30" s="31">
        <f>IF(H30=1,20,IF(AND(H30&gt;=98%,H30&lt;100%),10,0))</f>
        <v/>
      </c>
      <c r="J30" s="32">
        <f>E30+I30</f>
        <v/>
      </c>
      <c r="K30" s="1" t="n"/>
      <c r="L30" s="53" t="n"/>
      <c r="M30" s="54" t="n"/>
      <c r="N30" s="1" t="n"/>
      <c r="O30" s="35" t="n"/>
      <c r="P30" s="35" t="n"/>
      <c r="Q30" s="33" t="n"/>
      <c r="R30" s="33" t="n"/>
      <c r="S30" s="34">
        <f>O30+P30+Q30+R30</f>
        <v/>
      </c>
      <c r="T30" s="1" t="n"/>
      <c r="U30" s="43">
        <f>SUM(J30-S30)</f>
        <v/>
      </c>
      <c r="V30" s="44" t="n"/>
      <c r="W30" s="2" t="n"/>
    </row>
    <row r="31" ht="15.75" customHeight="1" s="45">
      <c r="B31" s="30" t="n">
        <v>46347</v>
      </c>
      <c r="C31" s="12">
        <f>IF(B31="","",TEXT(WEEKDAY(B31),"dddd"))</f>
        <v/>
      </c>
      <c r="D31" s="16" t="n"/>
      <c r="E31" s="13">
        <f>IF(D31="","",VLOOKUP(D31,
{0,240;101,260;126,280;151,300;176,320;201,340;226,360;251,380;276,400;301,420;326,440;351,460;376,480},
2,TRUE)
+IF(WEEKDAY(B31,2)=7,48,0))</f>
        <v/>
      </c>
      <c r="F31" s="17" t="n"/>
      <c r="G31" s="18" t="n"/>
      <c r="H31" s="15">
        <f>IF(OR(F31="",G31="",F31=0),"",G31/F31)</f>
        <v/>
      </c>
      <c r="I31" s="31">
        <f>IF(H31=1,20,IF(AND(H31&gt;=98%,H31&lt;100%),10,0))</f>
        <v/>
      </c>
      <c r="J31" s="32">
        <f>E31+I31</f>
        <v/>
      </c>
      <c r="K31" s="1" t="n"/>
      <c r="L31" s="58">
        <f>COUNTIF(D4:D19,"&gt;0")</f>
        <v/>
      </c>
      <c r="N31" s="1" t="n"/>
      <c r="O31" s="35" t="n"/>
      <c r="P31" s="35" t="n"/>
      <c r="Q31" s="33" t="n"/>
      <c r="R31" s="33" t="n"/>
      <c r="S31" s="34">
        <f>O31+P31+Q31+R31</f>
        <v/>
      </c>
      <c r="T31" s="1" t="n"/>
      <c r="U31" s="43">
        <f>SUM(J31-S31)</f>
        <v/>
      </c>
      <c r="V31" s="44" t="n"/>
      <c r="W31" s="2" t="n"/>
    </row>
    <row r="32" ht="15.75" customHeight="1" s="45">
      <c r="B32" s="30" t="n">
        <v>46348</v>
      </c>
      <c r="C32" s="12">
        <f>IF(B32="","",TEXT(WEEKDAY(B32),"dddd"))</f>
        <v/>
      </c>
      <c r="D32" s="16" t="n"/>
      <c r="E32" s="13">
        <f>IF(D32="","",VLOOKUP(D32,
{0,240;101,260;126,280;151,300;176,320;201,340;226,360;251,380;276,400;301,420;326,440;351,460;376,480},
2,TRUE)
+IF(WEEKDAY(B32,2)=7,48,0))</f>
        <v/>
      </c>
      <c r="F32" s="17" t="n"/>
      <c r="G32" s="18" t="n"/>
      <c r="H32" s="15">
        <f>IF(OR(F32="",G32="",F32=0),"",G32/F32)</f>
        <v/>
      </c>
      <c r="I32" s="31">
        <f>IF(H32=1,20,IF(AND(H32&gt;=98%,H32&lt;100%),10,0))</f>
        <v/>
      </c>
      <c r="J32" s="32">
        <f>E32+I32</f>
        <v/>
      </c>
      <c r="K32" s="1" t="n"/>
      <c r="L32" s="66" t="inlineStr">
        <is>
          <t>2ª bônus 600</t>
        </is>
      </c>
      <c r="M32" s="56" t="n"/>
      <c r="N32" s="1" t="n"/>
      <c r="O32" s="35" t="n"/>
      <c r="P32" s="35" t="n"/>
      <c r="Q32" s="33" t="n"/>
      <c r="R32" s="33" t="n"/>
      <c r="S32" s="34">
        <f>O32+P32+Q32+R32</f>
        <v/>
      </c>
      <c r="T32" s="1" t="n"/>
      <c r="U32" s="43">
        <f>SUM(J32-S32)</f>
        <v/>
      </c>
      <c r="V32" s="44" t="n"/>
      <c r="W32" s="2" t="n"/>
    </row>
    <row r="33" ht="15.75" customHeight="1" s="45">
      <c r="B33" s="30" t="n">
        <v>46349</v>
      </c>
      <c r="C33" s="12">
        <f>IF(B33="","",TEXT(WEEKDAY(B33),"dddd"))</f>
        <v/>
      </c>
      <c r="D33" s="16" t="n"/>
      <c r="E33" s="13">
        <f>IF(D33="","",VLOOKUP(D33,
{0,240;101,260;126,280;151,300;176,320;201,340;226,360;251,380;276,400;301,420;326,440;351,460;376,480},
2,TRUE)
+IF(WEEKDAY(B33,2)=7,48,0))</f>
        <v/>
      </c>
      <c r="F33" s="17" t="n"/>
      <c r="G33" s="18" t="n"/>
      <c r="H33" s="15">
        <f>IF(OR(F33="",G33="",F33=0),"",G33/F33)</f>
        <v/>
      </c>
      <c r="I33" s="31">
        <f>IF(H33=1,20,IF(AND(H33&gt;=98%,H33&lt;100%),10,0))</f>
        <v/>
      </c>
      <c r="J33" s="32">
        <f>E33+I33</f>
        <v/>
      </c>
      <c r="K33" s="1" t="n"/>
      <c r="L33" s="53" t="n"/>
      <c r="M33" s="54" t="n"/>
      <c r="N33" s="1" t="n"/>
      <c r="O33" s="35" t="n"/>
      <c r="P33" s="35" t="n"/>
      <c r="Q33" s="33" t="n"/>
      <c r="R33" s="33" t="n"/>
      <c r="S33" s="34">
        <f>O33+P33+Q33+R33</f>
        <v/>
      </c>
      <c r="T33" s="1" t="n"/>
      <c r="U33" s="43">
        <f>SUM(J33-S33)</f>
        <v/>
      </c>
      <c r="V33" s="44" t="n"/>
      <c r="W33" s="2" t="n"/>
    </row>
    <row r="34" ht="15.75" customHeight="1" s="45">
      <c r="B34" s="30" t="n">
        <v>46350</v>
      </c>
      <c r="C34" s="12">
        <f>IF(B34="","",TEXT(WEEKDAY(B34),"dddd"))</f>
        <v/>
      </c>
      <c r="D34" s="16" t="n"/>
      <c r="E34" s="13">
        <f>IF(D34="","",VLOOKUP(D34,
{0,240;101,260;126,280;151,300;176,320;201,340;226,360;251,380;276,400;301,420;326,440;351,460;376,480},
2,TRUE)
+IF(WEEKDAY(B34,2)=7,48,0))</f>
        <v/>
      </c>
      <c r="F34" s="17" t="n"/>
      <c r="G34" s="18" t="n"/>
      <c r="H34" s="15">
        <f>IF(OR(F34="",G34="",F34=0),"",G34/F34)</f>
        <v/>
      </c>
      <c r="I34" s="31">
        <f>IF(H34=1,20,IF(AND(H34&gt;=98%,H34&lt;100%),10,0))</f>
        <v/>
      </c>
      <c r="J34" s="32">
        <f>E34+I34</f>
        <v/>
      </c>
      <c r="K34" s="1" t="n"/>
      <c r="L34" s="55">
        <f>IF(OR(F38="",G38="",F38=0),"",G38/F38)</f>
        <v/>
      </c>
      <c r="M34" s="56" t="n"/>
      <c r="N34" s="1" t="n"/>
      <c r="O34" s="35" t="n"/>
      <c r="P34" s="35" t="n"/>
      <c r="Q34" s="33" t="n"/>
      <c r="R34" s="33" t="n"/>
      <c r="S34" s="34">
        <f>O34+P34+Q34+R34</f>
        <v/>
      </c>
      <c r="T34" s="1" t="n"/>
      <c r="U34" s="43">
        <f>SUM(J34-S34)</f>
        <v/>
      </c>
      <c r="V34" s="44" t="n"/>
      <c r="W34" s="2" t="n"/>
    </row>
    <row r="35" ht="15.75" customHeight="1" s="45">
      <c r="B35" s="30" t="n">
        <v>46351</v>
      </c>
      <c r="C35" s="12">
        <f>IF(B35="","",TEXT(WEEKDAY(B35),"dddd"))</f>
        <v/>
      </c>
      <c r="D35" s="16" t="n"/>
      <c r="E35" s="13">
        <f>IF(D35="","",VLOOKUP(D35,
{0,240;101,260;126,280;151,300;176,320;201,340;226,360;251,380;276,400;301,420;326,440;351,460;376,480},
2,TRUE)
+IF(WEEKDAY(B35,2)=7,48,0))</f>
        <v/>
      </c>
      <c r="F35" s="26" t="n"/>
      <c r="G35" s="27" t="n"/>
      <c r="H35" s="15">
        <f>IF(OR(F35="",G35="",F35=0),"",G35/F35)</f>
        <v/>
      </c>
      <c r="I35" s="31">
        <f>IF(H35=1,20,IF(AND(H35&gt;=98%,H35&lt;100%),10,0))</f>
        <v/>
      </c>
      <c r="J35" s="32">
        <f>E35+I35</f>
        <v/>
      </c>
      <c r="K35" s="1" t="n"/>
      <c r="L35" s="53" t="n"/>
      <c r="M35" s="54" t="n"/>
      <c r="N35" s="1" t="n"/>
      <c r="O35" s="35" t="n"/>
      <c r="P35" s="35" t="n"/>
      <c r="Q35" s="33" t="n"/>
      <c r="R35" s="33" t="n"/>
      <c r="S35" s="34">
        <f>O35+P35+Q35+R35</f>
        <v/>
      </c>
      <c r="T35" s="1" t="n"/>
      <c r="U35" s="43">
        <f>SUM(J35-S35)</f>
        <v/>
      </c>
      <c r="V35" s="44" t="n"/>
      <c r="W35" s="2" t="n"/>
    </row>
    <row r="36" ht="15.75" customHeight="1" s="4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69">
        <f>COUNTIF(D21:D35,"&gt;0")</f>
        <v/>
      </c>
      <c r="N36" s="1" t="n"/>
      <c r="O36" s="1" t="n"/>
      <c r="P36" s="1" t="n"/>
      <c r="Q36" s="1" t="n"/>
      <c r="R36" s="1" t="n"/>
      <c r="S36" s="1" t="n"/>
      <c r="T36" s="1" t="n"/>
      <c r="U36" s="65" t="n"/>
      <c r="V36" s="44" t="n"/>
      <c r="W36" s="2" t="n"/>
    </row>
    <row r="37" ht="15.75" customHeight="1" s="45">
      <c r="F37" s="28">
        <f>SUM(F4:F19)</f>
        <v/>
      </c>
      <c r="G37" s="28">
        <f>SUM(G4:G19)</f>
        <v/>
      </c>
      <c r="J37" s="41">
        <f>SUM(J4:J19)</f>
        <v/>
      </c>
      <c r="L37" s="29" t="n"/>
    </row>
    <row r="38" ht="15.75" customHeight="1" s="45">
      <c r="F38" s="28">
        <f>SUM(F21:F35)</f>
        <v/>
      </c>
      <c r="G38" s="28">
        <f>SUM(G21:G35)</f>
        <v/>
      </c>
      <c r="J38" s="41">
        <f>SUM(J21:J35)</f>
        <v/>
      </c>
    </row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  <row r="1001" ht="15.75" customHeight="1" s="45"/>
  </sheetData>
  <mergeCells count="85">
    <mergeCell ref="U31:V31"/>
    <mergeCell ref="U40:V40"/>
    <mergeCell ref="U15:V15"/>
    <mergeCell ref="U65:V65"/>
    <mergeCell ref="L22:M23"/>
    <mergeCell ref="L13:M15"/>
    <mergeCell ref="L34:M35"/>
    <mergeCell ref="L6:M7"/>
    <mergeCell ref="L19:M21"/>
    <mergeCell ref="U16:V16"/>
    <mergeCell ref="U57:V57"/>
    <mergeCell ref="U33:V33"/>
    <mergeCell ref="U28:V28"/>
    <mergeCell ref="U42:V42"/>
    <mergeCell ref="L31:M31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A4:A19"/>
    <mergeCell ref="U48:V48"/>
    <mergeCell ref="U32:V32"/>
    <mergeCell ref="L11:M12"/>
    <mergeCell ref="U41:V41"/>
    <mergeCell ref="U13:V13"/>
    <mergeCell ref="U7:V7"/>
    <mergeCell ref="U47:V47"/>
    <mergeCell ref="U56:V56"/>
    <mergeCell ref="U43:V43"/>
    <mergeCell ref="U24:V24"/>
    <mergeCell ref="U18:V18"/>
    <mergeCell ref="U58:V58"/>
    <mergeCell ref="U8:V8"/>
    <mergeCell ref="U63:V63"/>
    <mergeCell ref="U10:V10"/>
    <mergeCell ref="U50:V50"/>
    <mergeCell ref="U19:V19"/>
    <mergeCell ref="U44:V44"/>
    <mergeCell ref="U34:V34"/>
    <mergeCell ref="U9:V9"/>
    <mergeCell ref="U49:V49"/>
    <mergeCell ref="L1:M2"/>
    <mergeCell ref="U36:V36"/>
    <mergeCell ref="U30:V30"/>
    <mergeCell ref="U45:V45"/>
    <mergeCell ref="L27:M28"/>
    <mergeCell ref="U37:V37"/>
    <mergeCell ref="A21:A35"/>
    <mergeCell ref="U12:V12"/>
    <mergeCell ref="L17:M18"/>
    <mergeCell ref="U21:V21"/>
    <mergeCell ref="U62:V62"/>
    <mergeCell ref="U55:V55"/>
    <mergeCell ref="L3:M4"/>
    <mergeCell ref="U64:V64"/>
    <mergeCell ref="U51:V51"/>
    <mergeCell ref="U1:V3"/>
    <mergeCell ref="U26:V26"/>
    <mergeCell ref="U35:V35"/>
    <mergeCell ref="L29:M30"/>
    <mergeCell ref="U27:V27"/>
    <mergeCell ref="U17:V17"/>
    <mergeCell ref="U11:V11"/>
    <mergeCell ref="U25:V25"/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</mergeCells>
  <conditionalFormatting sqref="C4:C35">
    <cfRule type="beginsWith" priority="1" operator="beginsWith" dxfId="0" text="d">
      <formula>LEFT((C4),LEN("d"))=("d")</formula>
    </cfRule>
  </conditionalFormatting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67"/>
  <sheetViews>
    <sheetView workbookViewId="0">
      <selection activeCell="A1" sqref="A1"/>
    </sheetView>
  </sheetViews>
  <sheetFormatPr baseColWidth="8" defaultColWidth="12.5703125" defaultRowHeight="15" customHeight="1"/>
  <cols>
    <col width="8.7109375" customWidth="1" style="45" min="1" max="1"/>
    <col width="12.5703125" customWidth="1" style="45" min="2" max="4"/>
    <col width="12.7109375" customWidth="1" style="45" min="5" max="5"/>
    <col width="12.5703125" customWidth="1" style="45" min="6" max="6"/>
    <col width="4.42578125" customWidth="1" style="45" min="11" max="11"/>
    <col width="4.140625" customWidth="1" style="45" min="14" max="14"/>
    <col width="4.28515625" customWidth="1" style="45" min="20" max="20"/>
    <col width="4.140625" customWidth="1" style="45" min="23" max="23"/>
  </cols>
  <sheetData>
    <row r="1" ht="15.75" customHeight="1" s="45">
      <c r="A1" s="1" t="n"/>
      <c r="B1" s="1" t="n"/>
      <c r="C1" s="68" t="inlineStr">
        <is>
          <t>planilha de ganhos Ac2</t>
        </is>
      </c>
      <c r="D1" s="62" t="n"/>
      <c r="E1" s="62" t="n"/>
      <c r="F1" s="62" t="n"/>
      <c r="G1" s="62" t="n"/>
      <c r="H1" s="47" t="n"/>
      <c r="I1" s="1" t="n"/>
      <c r="J1" s="1" t="n"/>
      <c r="K1" s="1" t="n"/>
      <c r="L1" s="46" t="inlineStr">
        <is>
          <t>1ª Quizena</t>
        </is>
      </c>
      <c r="M1" s="47" t="n"/>
      <c r="N1" s="1" t="n"/>
      <c r="O1" s="61" t="inlineStr">
        <is>
          <t>Gastos</t>
        </is>
      </c>
      <c r="P1" s="62" t="n"/>
      <c r="Q1" s="62" t="n"/>
      <c r="R1" s="62" t="n"/>
      <c r="S1" s="47" t="n"/>
      <c r="T1" s="1" t="n"/>
      <c r="U1" s="67" t="inlineStr">
        <is>
          <t>lucro diario</t>
        </is>
      </c>
      <c r="V1" s="56" t="n"/>
      <c r="W1" s="2" t="n"/>
    </row>
    <row r="2" ht="15.75" customHeight="1" s="45">
      <c r="A2" s="1" t="n"/>
      <c r="B2" s="1" t="n"/>
      <c r="C2" s="48" t="n"/>
      <c r="D2" s="63" t="n"/>
      <c r="E2" s="63" t="n"/>
      <c r="F2" s="63" t="n"/>
      <c r="G2" s="63" t="n"/>
      <c r="H2" s="49" t="n"/>
      <c r="I2" s="1" t="n"/>
      <c r="J2" s="1" t="n"/>
      <c r="K2" s="1" t="n"/>
      <c r="L2" s="48" t="n"/>
      <c r="M2" s="49" t="n"/>
      <c r="N2" s="1" t="n"/>
      <c r="O2" s="48" t="n"/>
      <c r="P2" s="63" t="n"/>
      <c r="Q2" s="63" t="n"/>
      <c r="R2" s="63" t="n"/>
      <c r="S2" s="49" t="n"/>
      <c r="T2" s="1" t="n"/>
      <c r="U2" s="52" t="n"/>
      <c r="V2" s="51" t="n"/>
      <c r="W2" s="2" t="n"/>
    </row>
    <row r="3" ht="15.75" customHeight="1" s="45">
      <c r="A3" s="3" t="n"/>
      <c r="B3" s="4" t="inlineStr">
        <is>
          <t>Data</t>
        </is>
      </c>
      <c r="C3" s="5" t="inlineStr">
        <is>
          <t>Dia semana</t>
        </is>
      </c>
      <c r="D3" s="6" t="inlineStr">
        <is>
          <t>Km executado</t>
        </is>
      </c>
      <c r="E3" s="5" t="inlineStr">
        <is>
          <t>R$ Diaria</t>
        </is>
      </c>
      <c r="F3" s="5" t="inlineStr">
        <is>
          <t>Qtd. Pacotes</t>
        </is>
      </c>
      <c r="G3" s="5" t="inlineStr">
        <is>
          <t xml:space="preserve">Qtd.entregas </t>
        </is>
      </c>
      <c r="H3" s="5" t="inlineStr">
        <is>
          <t>% de Entrega</t>
        </is>
      </c>
      <c r="I3" s="7" t="inlineStr">
        <is>
          <t>bônus 1</t>
        </is>
      </c>
      <c r="J3" s="8" t="inlineStr">
        <is>
          <t>Total</t>
        </is>
      </c>
      <c r="K3" s="1" t="n"/>
      <c r="L3" s="50">
        <f>J37+IF(AND(L31&gt;=13,L29&gt;=98%,L29&lt;=100%),600,0)</f>
        <v/>
      </c>
      <c r="M3" s="51" t="n"/>
      <c r="N3" s="1" t="n"/>
      <c r="O3" s="9" t="inlineStr">
        <is>
          <t>Gasolina</t>
        </is>
      </c>
      <c r="P3" s="9" t="inlineStr">
        <is>
          <t xml:space="preserve">Almoço </t>
        </is>
      </c>
      <c r="Q3" s="10" t="inlineStr">
        <is>
          <t xml:space="preserve">Besteira </t>
        </is>
      </c>
      <c r="R3" s="10" t="inlineStr">
        <is>
          <t>Carro</t>
        </is>
      </c>
      <c r="S3" s="11" t="inlineStr">
        <is>
          <t>Total</t>
        </is>
      </c>
      <c r="T3" s="1" t="n"/>
      <c r="U3" s="53" t="n"/>
      <c r="V3" s="54" t="n"/>
      <c r="W3" s="2" t="n"/>
    </row>
    <row r="4" ht="15.75" customHeight="1" s="45">
      <c r="A4" s="64" t="n">
        <v>1</v>
      </c>
      <c r="B4" s="30" t="n">
        <v>46352</v>
      </c>
      <c r="C4" s="12">
        <f>IF(B4="","",TEXT(WEEKDAY(B4),"dddd"))</f>
        <v/>
      </c>
      <c r="D4" s="16" t="n"/>
      <c r="E4" s="13">
        <f>IF(D4="","",VLOOKUP(D4,
{0,240;101,260;126,280;151,300;176,320;201,340;226,360;251,380;276,400;301,420;326,440;351,460;376,480},
2,TRUE)
+IF(WEEKDAY(B4,2)=7,48,0))</f>
        <v/>
      </c>
      <c r="F4" s="14" t="n"/>
      <c r="G4" s="18" t="n"/>
      <c r="H4" s="15">
        <f>IF(OR(F4="",G4="",F4=0),"",G4/F4)</f>
        <v/>
      </c>
      <c r="I4" s="31">
        <f>IF(H4=1,20,IF(AND(H4&gt;=98%,H4&lt;100%),10,0))</f>
        <v/>
      </c>
      <c r="J4" s="32">
        <f>E4+I4</f>
        <v/>
      </c>
      <c r="K4" s="1" t="n"/>
      <c r="L4" s="53" t="n"/>
      <c r="M4" s="54" t="n"/>
      <c r="N4" s="1" t="n"/>
      <c r="O4" s="33" t="n"/>
      <c r="P4" s="33" t="n"/>
      <c r="Q4" s="33" t="n"/>
      <c r="R4" s="33" t="n"/>
      <c r="S4" s="34">
        <f>O4+P4+Q4+R4</f>
        <v/>
      </c>
      <c r="T4" s="1" t="n"/>
      <c r="U4" s="43">
        <f>SUM(J4-S4)</f>
        <v/>
      </c>
      <c r="V4" s="44" t="n"/>
      <c r="W4" s="2" t="n"/>
    </row>
    <row r="5" ht="15.75" customHeight="1" s="45">
      <c r="B5" s="30" t="n">
        <v>46353</v>
      </c>
      <c r="C5" s="12">
        <f>IF(B5="","",TEXT(WEEKDAY(B5),"dddd"))</f>
        <v/>
      </c>
      <c r="D5" s="16" t="n"/>
      <c r="E5" s="13">
        <f>IF(D5="","",VLOOKUP(D5,
{0,240;101,260;126,280;151,300;176,320;201,340;226,360;251,380;276,400;301,420;326,440;351,460;376,480},
2,TRUE)
+IF(WEEKDAY(B5,2)=7,48,0))</f>
        <v/>
      </c>
      <c r="F5" s="17" t="n"/>
      <c r="G5" s="18" t="n"/>
      <c r="H5" s="15">
        <f>IF(OR(F5="",G5="",F5=0),"",G5/F5)</f>
        <v/>
      </c>
      <c r="I5" s="31">
        <f>IF(H5=1,20,IF(AND(H5&gt;=98%,H5&lt;100%),10,0))</f>
        <v/>
      </c>
      <c r="J5" s="32">
        <f>E5+I5</f>
        <v/>
      </c>
      <c r="K5" s="1" t="n"/>
      <c r="L5" s="1" t="n"/>
      <c r="M5" s="1" t="n"/>
      <c r="N5" s="1" t="n"/>
      <c r="O5" s="35" t="n"/>
      <c r="P5" s="35" t="n"/>
      <c r="Q5" s="33" t="n"/>
      <c r="R5" s="33" t="n"/>
      <c r="S5" s="34">
        <f>O5+P5+Q5+R5</f>
        <v/>
      </c>
      <c r="T5" s="1" t="n"/>
      <c r="U5" s="43">
        <f>SUM(J5-S5)</f>
        <v/>
      </c>
      <c r="V5" s="44" t="n"/>
      <c r="W5" s="2" t="n"/>
    </row>
    <row r="6" ht="15.75" customHeight="1" s="45">
      <c r="B6" s="30" t="n">
        <v>46354</v>
      </c>
      <c r="C6" s="12">
        <f>IF(B6="","",TEXT(WEEKDAY(B6),"dddd"))</f>
        <v/>
      </c>
      <c r="D6" s="16" t="n"/>
      <c r="E6" s="13">
        <f>IF(D6="","",VLOOKUP(D6,
{0,240;101,260;126,280;151,300;176,320;201,340;226,360;251,380;276,400;301,420;326,440;351,460;376,480},
2,TRUE)
+IF(WEEKDAY(B6,2)=7,48,0))</f>
        <v/>
      </c>
      <c r="F6" s="17" t="n"/>
      <c r="G6" s="18" t="n"/>
      <c r="H6" s="15">
        <f>IF(OR(F6="",G6="",F6=0),"",G6/F6)</f>
        <v/>
      </c>
      <c r="I6" s="31">
        <f>IF(H6=1,20,IF(AND(H6&gt;=98%,H6&lt;100%),10,0))</f>
        <v/>
      </c>
      <c r="J6" s="32">
        <f>E6+I6</f>
        <v/>
      </c>
      <c r="K6" s="1" t="n"/>
      <c r="L6" s="46" t="inlineStr">
        <is>
          <t>2ª Quizena</t>
        </is>
      </c>
      <c r="M6" s="47" t="n"/>
      <c r="N6" s="1" t="n"/>
      <c r="O6" s="35" t="n"/>
      <c r="P6" s="35" t="n"/>
      <c r="Q6" s="33" t="n"/>
      <c r="R6" s="33" t="n"/>
      <c r="S6" s="34">
        <f>O6+P6+Q6+R6</f>
        <v/>
      </c>
      <c r="T6" s="1" t="n"/>
      <c r="U6" s="43">
        <f>SUM(J6-S6)</f>
        <v/>
      </c>
      <c r="V6" s="44" t="n"/>
      <c r="W6" s="2" t="n"/>
    </row>
    <row r="7" ht="15.75" customHeight="1" s="45">
      <c r="B7" s="30" t="n">
        <v>46355</v>
      </c>
      <c r="C7" s="12">
        <f>IF(B7="","",TEXT(WEEKDAY(B7),"dddd"))</f>
        <v/>
      </c>
      <c r="D7" s="16" t="n"/>
      <c r="E7" s="13">
        <f>IF(D7="","",VLOOKUP(D7,
{0,240;101,260;126,280;151,300;176,320;201,340;226,360;251,380;276,400;301,420;326,440;351,460;376,480},
2,TRUE)
+IF(WEEKDAY(B7,2)=7,48,0))</f>
        <v/>
      </c>
      <c r="F7" s="17" t="n"/>
      <c r="G7" s="18" t="n"/>
      <c r="H7" s="15">
        <f>IF(OR(F7="",G7="",F7=0),"",G7/F7)</f>
        <v/>
      </c>
      <c r="I7" s="31">
        <f>IF(H7=1,20,IF(AND(H7&gt;=98%,H7&lt;100%),10,0))</f>
        <v/>
      </c>
      <c r="J7" s="32">
        <f>E7+I7</f>
        <v/>
      </c>
      <c r="K7" s="1" t="n"/>
      <c r="L7" s="48" t="n"/>
      <c r="M7" s="49" t="n"/>
      <c r="N7" s="1" t="n"/>
      <c r="O7" s="35" t="n"/>
      <c r="P7" s="35" t="n"/>
      <c r="Q7" s="33" t="n"/>
      <c r="R7" s="33" t="n"/>
      <c r="S7" s="34">
        <f>O7+P7+Q7+R7</f>
        <v/>
      </c>
      <c r="T7" s="1" t="n"/>
      <c r="U7" s="43">
        <f>SUM(J7-S7)</f>
        <v/>
      </c>
      <c r="V7" s="44" t="n"/>
      <c r="W7" s="2" t="n"/>
    </row>
    <row r="8" ht="15.75" customHeight="1" s="45">
      <c r="B8" s="30" t="n">
        <v>46356</v>
      </c>
      <c r="C8" s="12">
        <f>IF(B8="","",TEXT(WEEKDAY(B8),"dddd"))</f>
        <v/>
      </c>
      <c r="D8" s="16" t="n"/>
      <c r="E8" s="13">
        <f>IF(D8="","",VLOOKUP(D8,
{0,240;101,260;126,280;151,300;176,320;201,340;226,360;251,380;276,400;301,420;326,440;351,460;376,480},
2,TRUE)
+IF(WEEKDAY(B8,2)=7,48,0))</f>
        <v/>
      </c>
      <c r="F8" s="17" t="n"/>
      <c r="G8" s="18" t="n"/>
      <c r="H8" s="15">
        <f>IF(OR(F8="",G8="",F8=0),"",G8/F8)</f>
        <v/>
      </c>
      <c r="I8" s="31">
        <f>IF(H8=1,20,IF(AND(H8&gt;=98%,H8&lt;100%),10,0))</f>
        <v/>
      </c>
      <c r="J8" s="32">
        <f>E8+I8</f>
        <v/>
      </c>
      <c r="K8" s="1" t="n"/>
      <c r="L8" s="50">
        <f>J38+IF(AND(L36&gt;=13,L29&gt;=98%,L29&lt;=100%),600,0)</f>
        <v/>
      </c>
      <c r="M8" s="51" t="n"/>
      <c r="N8" s="1" t="n"/>
      <c r="O8" s="35" t="n"/>
      <c r="P8" s="35" t="n"/>
      <c r="Q8" s="33" t="n"/>
      <c r="R8" s="33" t="n"/>
      <c r="S8" s="34">
        <f>O8+P8+Q8+R8</f>
        <v/>
      </c>
      <c r="T8" s="1" t="n"/>
      <c r="U8" s="43">
        <f>SUM(J8-S8)</f>
        <v/>
      </c>
      <c r="V8" s="44" t="n"/>
      <c r="W8" s="2" t="n"/>
    </row>
    <row r="9" ht="15.75" customHeight="1" s="45">
      <c r="B9" s="30" t="n">
        <v>46357</v>
      </c>
      <c r="C9" s="12">
        <f>IF(B9="","",TEXT(WEEKDAY(B9),"dddd"))</f>
        <v/>
      </c>
      <c r="D9" s="16" t="n"/>
      <c r="E9" s="13">
        <f>IF(D9="","",VLOOKUP(D9,
{0,240;101,260;126,280;151,300;176,320;201,340;226,360;251,380;276,400;301,420;326,440;351,460;376,480},
2,TRUE)
+IF(WEEKDAY(B9,2)=7,48,0))</f>
        <v/>
      </c>
      <c r="F9" s="17" t="n"/>
      <c r="G9" s="18" t="n"/>
      <c r="H9" s="15">
        <f>IF(OR(F9="",G9="",F9=0),"",G9/F9)</f>
        <v/>
      </c>
      <c r="I9" s="31">
        <f>IF(H9=1,20,IF(AND(H9&gt;=98%,H9&lt;100%),10,0))</f>
        <v/>
      </c>
      <c r="J9" s="32">
        <f>E9+I9</f>
        <v/>
      </c>
      <c r="K9" s="1" t="n"/>
      <c r="L9" s="53" t="n"/>
      <c r="M9" s="54" t="n"/>
      <c r="N9" s="1" t="n"/>
      <c r="O9" s="35" t="n"/>
      <c r="P9" s="35" t="n"/>
      <c r="Q9" s="33" t="n"/>
      <c r="R9" s="33" t="n"/>
      <c r="S9" s="34">
        <f>O9+P9+Q9+R9</f>
        <v/>
      </c>
      <c r="T9" s="1" t="n"/>
      <c r="U9" s="43">
        <f>SUM(J9-S9)</f>
        <v/>
      </c>
      <c r="V9" s="44" t="n"/>
      <c r="W9" s="2" t="n"/>
    </row>
    <row r="10" ht="15.75" customHeight="1" s="45">
      <c r="B10" s="30" t="n">
        <v>46358</v>
      </c>
      <c r="C10" s="12">
        <f>IF(B10="","",TEXT(WEEKDAY(B10),"dddd"))</f>
        <v/>
      </c>
      <c r="D10" s="16" t="n"/>
      <c r="E10" s="13">
        <f>IF(D10="","",VLOOKUP(D10,
{0,240;101,260;126,280;151,300;176,320;201,340;226,360;251,380;276,400;301,420;326,440;351,460;376,480},
2,TRUE)
+IF(WEEKDAY(B10,2)=7,48,0))</f>
        <v/>
      </c>
      <c r="F10" s="17" t="n"/>
      <c r="G10" s="18" t="n"/>
      <c r="H10" s="15">
        <f>IF(OR(F10="",G10="",F10=0),"",G10/F10)</f>
        <v/>
      </c>
      <c r="I10" s="31">
        <f>IF(H10=1,20,IF(AND(H10&gt;=98%,H10&lt;100%),10,0))</f>
        <v/>
      </c>
      <c r="J10" s="32">
        <f>E10+I10</f>
        <v/>
      </c>
      <c r="K10" s="1" t="n"/>
      <c r="L10" s="1" t="n"/>
      <c r="M10" s="1" t="n"/>
      <c r="N10" s="1" t="n"/>
      <c r="O10" s="35" t="n"/>
      <c r="P10" s="35" t="n"/>
      <c r="Q10" s="33" t="n"/>
      <c r="R10" s="33" t="n"/>
      <c r="S10" s="34">
        <f>O10+P10+Q10+R10</f>
        <v/>
      </c>
      <c r="T10" s="1" t="n"/>
      <c r="U10" s="43">
        <f>SUM(J10-S10)</f>
        <v/>
      </c>
      <c r="V10" s="44" t="n"/>
      <c r="W10" s="2" t="n"/>
    </row>
    <row r="11" ht="15.75" customHeight="1" s="45">
      <c r="B11" s="30" t="n">
        <v>46359</v>
      </c>
      <c r="C11" s="12">
        <f>IF(B11="","",TEXT(WEEKDAY(B11),"dddd"))</f>
        <v/>
      </c>
      <c r="D11" s="16" t="n"/>
      <c r="E11" s="13">
        <f>IF(D11="","",VLOOKUP(D11,
{0,240;101,260;126,280;151,300;176,320;201,340;226,360;251,380;276,400;301,420;326,440;351,460;376,480},
2,TRUE)
+IF(WEEKDAY(B11,2)=7,48,0))</f>
        <v/>
      </c>
      <c r="F11" s="17" t="n"/>
      <c r="G11" s="18" t="n"/>
      <c r="H11" s="15">
        <f>IF(OR(F11="",G11="",F11=0),"",G11/F11)</f>
        <v/>
      </c>
      <c r="I11" s="31">
        <f>IF(H11=1,20,IF(AND(H11&gt;=98%,H11&lt;100%),10,0))</f>
        <v/>
      </c>
      <c r="J11" s="32">
        <f>E11+I11</f>
        <v/>
      </c>
      <c r="K11" s="1" t="n"/>
      <c r="L11" s="46" t="inlineStr">
        <is>
          <t>Total/Ganho</t>
        </is>
      </c>
      <c r="M11" s="47" t="n"/>
      <c r="N11" s="1" t="n"/>
      <c r="O11" s="35" t="n"/>
      <c r="P11" s="35" t="n"/>
      <c r="Q11" s="33" t="n"/>
      <c r="R11" s="33" t="n"/>
      <c r="S11" s="34">
        <f>O11+P11+Q11+R11</f>
        <v/>
      </c>
      <c r="T11" s="1" t="n"/>
      <c r="U11" s="43">
        <f>SUM(J11-S11)</f>
        <v/>
      </c>
      <c r="V11" s="44" t="n"/>
      <c r="W11" s="2" t="n"/>
    </row>
    <row r="12" ht="15.75" customHeight="1" s="45">
      <c r="B12" s="30" t="n">
        <v>46360</v>
      </c>
      <c r="C12" s="12">
        <f>IF(B12="","",TEXT(WEEKDAY(B12),"dddd"))</f>
        <v/>
      </c>
      <c r="D12" s="16" t="n"/>
      <c r="E12" s="13">
        <f>IF(D12="","",VLOOKUP(D12,
{0,240;101,260;126,280;151,300;176,320;201,340;226,360;251,380;276,400;301,420;326,440;351,460;376,480},
2,TRUE)
+IF(WEEKDAY(B12,2)=7,48,0))</f>
        <v/>
      </c>
      <c r="F12" s="17" t="n"/>
      <c r="G12" s="18" t="n"/>
      <c r="H12" s="15">
        <f>IF(OR(F12="",G12="",F12=0),"",G12/F12)</f>
        <v/>
      </c>
      <c r="I12" s="31">
        <f>IF(H12=1,20,IF(AND(H12&gt;=98%,H12&lt;100%),10,0))</f>
        <v/>
      </c>
      <c r="J12" s="32">
        <f>E12+I12</f>
        <v/>
      </c>
      <c r="K12" s="1" t="n"/>
      <c r="L12" s="48" t="n"/>
      <c r="M12" s="49" t="n"/>
      <c r="N12" s="1" t="n"/>
      <c r="O12" s="35" t="n"/>
      <c r="P12" s="35" t="n"/>
      <c r="Q12" s="33" t="n"/>
      <c r="R12" s="33" t="n"/>
      <c r="S12" s="34">
        <f>O12+P12+Q12+R12</f>
        <v/>
      </c>
      <c r="T12" s="1" t="n"/>
      <c r="U12" s="43">
        <f>SUM(J12-S12)</f>
        <v/>
      </c>
      <c r="V12" s="44" t="n"/>
      <c r="W12" s="2" t="n"/>
    </row>
    <row r="13" ht="15.75" customHeight="1" s="45">
      <c r="B13" s="30" t="n">
        <v>46361</v>
      </c>
      <c r="C13" s="12">
        <f>IF(B13="","",TEXT(WEEKDAY(B13),"dddd"))</f>
        <v/>
      </c>
      <c r="D13" s="16" t="n"/>
      <c r="E13" s="13">
        <f>IF(D13="","",VLOOKUP(D13,
{0,240;101,260;126,280;151,300;176,320;201,340;226,360;251,380;276,400;301,420;326,440;351,460;376,480},
2,TRUE)
+IF(WEEKDAY(B13,2)=7,48,0))</f>
        <v/>
      </c>
      <c r="F13" s="17" t="n"/>
      <c r="G13" s="18" t="n"/>
      <c r="H13" s="15">
        <f>IF(OR(F13="",G13="",F13=0),"",G13/F13)</f>
        <v/>
      </c>
      <c r="I13" s="31">
        <f>IF(H13=1,20,IF(AND(H13&gt;=98%,H13&lt;100%),10,0))</f>
        <v/>
      </c>
      <c r="J13" s="32">
        <f>E13+I13</f>
        <v/>
      </c>
      <c r="K13" s="1" t="n"/>
      <c r="L13" s="50">
        <f>SUM(L3+L8)</f>
        <v/>
      </c>
      <c r="M13" s="51" t="n"/>
      <c r="N13" s="1" t="n"/>
      <c r="O13" s="35" t="n"/>
      <c r="P13" s="35" t="n"/>
      <c r="Q13" s="33" t="n"/>
      <c r="R13" s="33" t="n"/>
      <c r="S13" s="34">
        <f>O13+P13+Q13+R13</f>
        <v/>
      </c>
      <c r="T13" s="1" t="n"/>
      <c r="U13" s="43">
        <f>SUM(J13-S13)</f>
        <v/>
      </c>
      <c r="V13" s="44" t="n"/>
      <c r="W13" s="2" t="n"/>
    </row>
    <row r="14" ht="15.75" customHeight="1" s="45">
      <c r="B14" s="30" t="n">
        <v>46362</v>
      </c>
      <c r="C14" s="12">
        <f>IF(B14="","",TEXT(WEEKDAY(B14),"dddd"))</f>
        <v/>
      </c>
      <c r="D14" s="16" t="n"/>
      <c r="E14" s="13">
        <f>IF(D14="","",VLOOKUP(D14,
{0,240;101,260;126,280;151,300;176,320;201,340;226,360;251,380;276,400;301,420;326,440;351,460;376,480},
2,TRUE)
+IF(WEEKDAY(B14,2)=7,48,0))</f>
        <v/>
      </c>
      <c r="F14" s="17" t="n"/>
      <c r="G14" s="18" t="n"/>
      <c r="H14" s="15">
        <f>IF(OR(F14="",G14="",F14=0),"",G14/F14)</f>
        <v/>
      </c>
      <c r="I14" s="31">
        <f>IF(H14=1,20,IF(AND(H14&gt;=98%,H14&lt;100%),10,0))</f>
        <v/>
      </c>
      <c r="J14" s="32">
        <f>E14+I14</f>
        <v/>
      </c>
      <c r="K14" s="1" t="n"/>
      <c r="L14" s="52" t="n"/>
      <c r="M14" s="51" t="n"/>
      <c r="N14" s="1" t="n"/>
      <c r="O14" s="35" t="n"/>
      <c r="P14" s="35" t="n"/>
      <c r="Q14" s="33" t="n"/>
      <c r="R14" s="33" t="n"/>
      <c r="S14" s="34">
        <f>O14+P14+Q14+R14</f>
        <v/>
      </c>
      <c r="T14" s="1" t="n"/>
      <c r="U14" s="43">
        <f>SUM(J14-S14)</f>
        <v/>
      </c>
      <c r="V14" s="44" t="n"/>
      <c r="W14" s="2" t="n"/>
    </row>
    <row r="15" ht="15.75" customHeight="1" s="45">
      <c r="B15" s="30" t="n">
        <v>46363</v>
      </c>
      <c r="C15" s="12">
        <f>IF(B15="","",TEXT(WEEKDAY(B15),"dddd"))</f>
        <v/>
      </c>
      <c r="D15" s="16" t="n"/>
      <c r="E15" s="13">
        <f>IF(D15="","",VLOOKUP(D15,
{0,240;101,260;126,280;151,300;176,320;201,340;226,360;251,380;276,400;301,420;326,440;351,460;376,480},
2,TRUE)
+IF(WEEKDAY(B15,2)=7,48,0))</f>
        <v/>
      </c>
      <c r="F15" s="17" t="n"/>
      <c r="G15" s="18" t="n"/>
      <c r="H15" s="15">
        <f>IF(OR(F15="",G15="",F15=0),"",G15/F15)</f>
        <v/>
      </c>
      <c r="I15" s="31">
        <f>IF(H15=1,20,IF(AND(H15&gt;=98%,H15&lt;100%),10,0))</f>
        <v/>
      </c>
      <c r="J15" s="32">
        <f>E15+I15</f>
        <v/>
      </c>
      <c r="K15" s="1" t="n"/>
      <c r="L15" s="53" t="n"/>
      <c r="M15" s="54" t="n"/>
      <c r="N15" s="1" t="n"/>
      <c r="O15" s="35" t="n"/>
      <c r="P15" s="35" t="n"/>
      <c r="Q15" s="33" t="n"/>
      <c r="R15" s="33" t="n"/>
      <c r="S15" s="34">
        <f>O15+P15+Q15+R15</f>
        <v/>
      </c>
      <c r="T15" s="1" t="n"/>
      <c r="U15" s="43">
        <f>SUM(J15-S15)</f>
        <v/>
      </c>
      <c r="V15" s="44" t="n"/>
      <c r="W15" s="2" t="n"/>
    </row>
    <row r="16" ht="15.75" customHeight="1" s="45">
      <c r="B16" s="30" t="n">
        <v>46364</v>
      </c>
      <c r="C16" s="12">
        <f>IF(B16="","",TEXT(WEEKDAY(B16),"dddd"))</f>
        <v/>
      </c>
      <c r="D16" s="16" t="n"/>
      <c r="E16" s="13">
        <f>IF(D16="","",VLOOKUP(D16,
{0,240;101,260;126,280;151,300;176,320;201,340;226,360;251,380;276,400;301,420;326,440;351,460;376,480},
2,TRUE)
+IF(WEEKDAY(B16,2)=7,48,0))</f>
        <v/>
      </c>
      <c r="F16" s="17" t="n"/>
      <c r="G16" s="18" t="n"/>
      <c r="H16" s="15">
        <f>IF(OR(F16="",G16="",F16=0),"",G16/F16)</f>
        <v/>
      </c>
      <c r="I16" s="31">
        <f>IF(H16=1,20,IF(AND(H16&gt;=98%,H16&lt;100%),10,0))</f>
        <v/>
      </c>
      <c r="J16" s="32">
        <f>E16+I16</f>
        <v/>
      </c>
      <c r="K16" s="1" t="n"/>
      <c r="L16" s="1" t="n"/>
      <c r="M16" s="1" t="n"/>
      <c r="N16" s="1" t="n"/>
      <c r="O16" s="35" t="n"/>
      <c r="P16" s="35" t="n"/>
      <c r="Q16" s="33" t="n"/>
      <c r="R16" s="33" t="n"/>
      <c r="S16" s="34">
        <f>O16+P16+Q16+R16</f>
        <v/>
      </c>
      <c r="T16" s="1" t="n"/>
      <c r="U16" s="43">
        <f>SUM(J16-S16)</f>
        <v/>
      </c>
      <c r="V16" s="44" t="n"/>
      <c r="W16" s="2" t="n"/>
    </row>
    <row r="17" ht="15.75" customHeight="1" s="45">
      <c r="B17" s="30" t="n">
        <v>46365</v>
      </c>
      <c r="C17" s="12">
        <f>IF(B17="","",TEXT(WEEKDAY(B17),"dddd"))</f>
        <v/>
      </c>
      <c r="D17" s="16" t="n"/>
      <c r="E17" s="13">
        <f>IF(D17="","",VLOOKUP(D17,
{0,240;101,260;126,280;151,300;176,320;201,340;226,360;251,380;276,400;301,420;326,440;351,460;376,480},
2,TRUE)
+IF(WEEKDAY(B17,2)=7,48,0))</f>
        <v/>
      </c>
      <c r="F17" s="17" t="n"/>
      <c r="G17" s="18" t="n"/>
      <c r="H17" s="15">
        <f>IF(OR(F17="",G17="",F17=0),"",G17/F17)</f>
        <v/>
      </c>
      <c r="I17" s="31">
        <f>IF(H17=1,20,IF(AND(H17&gt;=98%,H17&lt;100%),10,0))</f>
        <v/>
      </c>
      <c r="J17" s="32">
        <f>E17+I17</f>
        <v/>
      </c>
      <c r="K17" s="1" t="n"/>
      <c r="L17" s="46" t="inlineStr">
        <is>
          <t>Total/Gasto</t>
        </is>
      </c>
      <c r="M17" s="47" t="n"/>
      <c r="N17" s="1" t="n"/>
      <c r="O17" s="35" t="n"/>
      <c r="P17" s="35" t="n"/>
      <c r="Q17" s="33" t="n"/>
      <c r="R17" s="33" t="n"/>
      <c r="S17" s="34">
        <f>O17+P17+Q17+R17</f>
        <v/>
      </c>
      <c r="T17" s="1" t="n"/>
      <c r="U17" s="43">
        <f>SUM(J17-S17)</f>
        <v/>
      </c>
      <c r="V17" s="44" t="n"/>
      <c r="W17" s="2" t="n"/>
    </row>
    <row r="18" ht="15.75" customHeight="1" s="45">
      <c r="B18" s="30" t="n">
        <v>46366</v>
      </c>
      <c r="C18" s="12">
        <f>IF(B18="","",TEXT(WEEKDAY(B18),"dddd"))</f>
        <v/>
      </c>
      <c r="D18" s="16" t="n"/>
      <c r="E18" s="13">
        <f>IF(D18="","",VLOOKUP(D18,
{0,240;101,260;126,280;151,300;176,320;201,340;226,360;251,380;276,400;301,420;326,440;351,460;376,480},
2,TRUE)
+IF(WEEKDAY(B18,2)=7,48,0))</f>
        <v/>
      </c>
      <c r="F18" s="17" t="n"/>
      <c r="G18" s="18" t="n"/>
      <c r="H18" s="15">
        <f>IF(OR(F18="",G18="",F18=0),"",G18/F18)</f>
        <v/>
      </c>
      <c r="I18" s="31">
        <f>IF(H18=1,20,IF(AND(H18&gt;=98%,H18&lt;100%),10,0))</f>
        <v/>
      </c>
      <c r="J18" s="32">
        <f>E18+I18</f>
        <v/>
      </c>
      <c r="K18" s="1" t="n"/>
      <c r="L18" s="48" t="n"/>
      <c r="M18" s="49" t="n"/>
      <c r="N18" s="1" t="n"/>
      <c r="O18" s="35" t="n"/>
      <c r="P18" s="35" t="n"/>
      <c r="Q18" s="33" t="n"/>
      <c r="R18" s="33" t="n"/>
      <c r="S18" s="34">
        <f>O18+P18+Q18+R18</f>
        <v/>
      </c>
      <c r="T18" s="1" t="n"/>
      <c r="U18" s="43">
        <f>SUM(J18-S18)</f>
        <v/>
      </c>
      <c r="V18" s="44" t="n"/>
      <c r="W18" s="2" t="n"/>
    </row>
    <row r="19" ht="15.75" customHeight="1" s="45">
      <c r="B19" s="30" t="n"/>
      <c r="C19" s="12">
        <f>IF(B19="","",TEXT(WEEKDAY(B19),"dddd"))</f>
        <v/>
      </c>
      <c r="D19" s="16" t="n"/>
      <c r="E19" s="13">
        <f>IF(D19="","",VLOOKUP(D19,
{0,240;101,260;126,280;151,300;176,320;201,340;226,360;251,380;276,400;301,420;326,440;351,460;376,480},
2,TRUE)
+IF(WEEKDAY(B19,2)=7,48,0))</f>
        <v/>
      </c>
      <c r="F19" s="17" t="n"/>
      <c r="G19" s="18" t="n"/>
      <c r="H19" s="15">
        <f>IF(OR(F19="",G19="",F19=0),"",G19/F19)</f>
        <v/>
      </c>
      <c r="I19" s="31">
        <f>IF(H19=1,20,IF(AND(H19&gt;=98%,H19&lt;100%),10,0))</f>
        <v/>
      </c>
      <c r="J19" s="32">
        <f>E19+I19</f>
        <v/>
      </c>
      <c r="K19" s="1" t="n"/>
      <c r="L19" s="57">
        <f>SUM(S4:S35)</f>
        <v/>
      </c>
      <c r="M19" s="51" t="n"/>
      <c r="N19" s="1" t="n"/>
      <c r="O19" s="35" t="n"/>
      <c r="P19" s="35" t="n"/>
      <c r="Q19" s="33" t="n"/>
      <c r="R19" s="33" t="n"/>
      <c r="S19" s="34">
        <f>O19+P19+Q19+R19</f>
        <v/>
      </c>
      <c r="T19" s="1" t="n"/>
      <c r="U19" s="43">
        <f>SUM(J19-S19)</f>
        <v/>
      </c>
      <c r="V19" s="44" t="n"/>
      <c r="W19" s="2" t="n"/>
    </row>
    <row r="20" ht="15.75" customHeight="1" s="45">
      <c r="A20" s="36" t="n"/>
      <c r="B20" s="37" t="n"/>
      <c r="C20" s="19" t="n"/>
      <c r="D20" s="20" t="n"/>
      <c r="E20" s="21" t="n"/>
      <c r="F20" s="22" t="n"/>
      <c r="G20" s="23" t="n"/>
      <c r="H20" s="24" t="n"/>
      <c r="I20" s="38" t="n"/>
      <c r="J20" s="25" t="n"/>
      <c r="K20" s="1" t="n"/>
      <c r="L20" s="52" t="n"/>
      <c r="M20" s="51" t="n"/>
      <c r="N20" s="1" t="n"/>
      <c r="O20" s="39" t="n"/>
      <c r="P20" s="39" t="n"/>
      <c r="Q20" s="40" t="n"/>
      <c r="R20" s="40" t="n"/>
      <c r="S20" s="40" t="n"/>
      <c r="T20" s="1" t="n"/>
      <c r="U20" s="59" t="n"/>
      <c r="V20" s="44" t="n"/>
      <c r="W20" s="2" t="n"/>
    </row>
    <row r="21" ht="15.75" customHeight="1" s="45">
      <c r="A21" s="64" t="n">
        <v>2</v>
      </c>
      <c r="B21" s="30" t="n">
        <v>46367</v>
      </c>
      <c r="C21" s="12">
        <f>IF(B21="","",TEXT(WEEKDAY(B21),"dddd"))</f>
        <v/>
      </c>
      <c r="D21" s="16" t="n"/>
      <c r="E21" s="13">
        <f>IF(D21="","",VLOOKUP(D21,
{0,240;101,260;126,280;151,300;176,320;201,340;226,360;251,380;276,400;301,420;326,440;351,460;376,480},
2,TRUE)
+IF(WEEKDAY(B21,2)=7,48,0))</f>
        <v/>
      </c>
      <c r="F21" s="17" t="n"/>
      <c r="G21" s="18" t="n"/>
      <c r="H21" s="15">
        <f>IF(OR(F21="",G21="",F21=0),"",G21/F21)</f>
        <v/>
      </c>
      <c r="I21" s="31">
        <f>IF(H21=1,20,IF(AND(H21&gt;=98%,H21&lt;100%),10,0))</f>
        <v/>
      </c>
      <c r="J21" s="32">
        <f>E21+I21</f>
        <v/>
      </c>
      <c r="K21" s="1" t="n"/>
      <c r="L21" s="53" t="n"/>
      <c r="M21" s="54" t="n"/>
      <c r="N21" s="1" t="n"/>
      <c r="O21" s="35" t="n"/>
      <c r="P21" s="35" t="n"/>
      <c r="Q21" s="33" t="n"/>
      <c r="R21" s="33" t="n"/>
      <c r="S21" s="34">
        <f>O21+P21+Q21+R21</f>
        <v/>
      </c>
      <c r="T21" s="1" t="n"/>
      <c r="U21" s="43">
        <f>SUM(J21-S21)</f>
        <v/>
      </c>
      <c r="V21" s="44" t="n"/>
      <c r="W21" s="2" t="n"/>
    </row>
    <row r="22" ht="15.75" customHeight="1" s="45">
      <c r="B22" s="30" t="n">
        <v>46368</v>
      </c>
      <c r="C22" s="12">
        <f>IF(B22="","",TEXT(WEEKDAY(B22),"dddd"))</f>
        <v/>
      </c>
      <c r="D22" s="16" t="n"/>
      <c r="E22" s="13">
        <f>IF(D22="","",VLOOKUP(D22,
{0,240;101,260;126,280;151,300;176,320;201,340;226,360;251,380;276,400;301,420;326,440;351,460;376,480},
2,TRUE)
+IF(WEEKDAY(B22,2)=7,48,0))</f>
        <v/>
      </c>
      <c r="F22" s="17" t="n"/>
      <c r="G22" s="18" t="n"/>
      <c r="H22" s="15">
        <f>IF(OR(F22="",G22="",F22=0),"",G22/F22)</f>
        <v/>
      </c>
      <c r="I22" s="31">
        <f>IF(H22=1,20,IF(AND(H22&gt;=98%,H22&lt;100%),10,0))</f>
        <v/>
      </c>
      <c r="J22" s="32">
        <f>E22+I22</f>
        <v/>
      </c>
      <c r="K22" s="1" t="n"/>
      <c r="L22" s="46" t="inlineStr">
        <is>
          <t>Total/Lucro</t>
        </is>
      </c>
      <c r="M22" s="47" t="n"/>
      <c r="N22" s="1" t="n"/>
      <c r="O22" s="35" t="n"/>
      <c r="P22" s="35" t="n"/>
      <c r="Q22" s="33" t="n"/>
      <c r="R22" s="33" t="n"/>
      <c r="S22" s="34">
        <f>O22+P22+Q22+R22</f>
        <v/>
      </c>
      <c r="T22" s="1" t="n"/>
      <c r="U22" s="43">
        <f>SUM(J22-S22)</f>
        <v/>
      </c>
      <c r="V22" s="44" t="n"/>
      <c r="W22" s="2" t="n"/>
    </row>
    <row r="23" ht="15.75" customHeight="1" s="45">
      <c r="B23" s="30" t="n">
        <v>46369</v>
      </c>
      <c r="C23" s="12">
        <f>IF(B23="","",TEXT(WEEKDAY(B23),"dddd"))</f>
        <v/>
      </c>
      <c r="D23" s="16" t="n"/>
      <c r="E23" s="13">
        <f>IF(D23="","",VLOOKUP(D23,
{0,240;101,260;126,280;151,300;176,320;201,340;226,360;251,380;276,400;301,420;326,440;351,460;376,480},
2,TRUE)
+IF(WEEKDAY(B23,2)=7,48,0))</f>
        <v/>
      </c>
      <c r="F23" s="17" t="n"/>
      <c r="G23" s="18" t="n"/>
      <c r="H23" s="15">
        <f>IF(OR(F23="",G23="",F23=0),"",G23/F23)</f>
        <v/>
      </c>
      <c r="I23" s="31">
        <f>IF(H23=1,20,IF(AND(H23&gt;=98%,H23&lt;100%),10,0))</f>
        <v/>
      </c>
      <c r="J23" s="32">
        <f>E23+I23</f>
        <v/>
      </c>
      <c r="K23" s="1" t="n"/>
      <c r="L23" s="48" t="n"/>
      <c r="M23" s="49" t="n"/>
      <c r="N23" s="1" t="n"/>
      <c r="O23" s="35" t="n"/>
      <c r="P23" s="35" t="n"/>
      <c r="Q23" s="33" t="n"/>
      <c r="R23" s="33" t="n"/>
      <c r="S23" s="34">
        <f>O23+P23+Q23+R23</f>
        <v/>
      </c>
      <c r="T23" s="1" t="n"/>
      <c r="U23" s="43">
        <f>SUM(J23-S23)</f>
        <v/>
      </c>
      <c r="V23" s="44" t="n"/>
      <c r="W23" s="2" t="n"/>
    </row>
    <row r="24" ht="15.75" customHeight="1" s="45">
      <c r="B24" s="30" t="n">
        <v>46370</v>
      </c>
      <c r="C24" s="12">
        <f>IF(B24="","",TEXT(WEEKDAY(B24),"dddd"))</f>
        <v/>
      </c>
      <c r="D24" s="16" t="n"/>
      <c r="E24" s="13">
        <f>IF(D24="","",VLOOKUP(D24,
{0,240;101,260;126,280;151,300;176,320;201,340;226,360;251,380;276,400;301,420;326,440;351,460;376,480},
2,TRUE)
+IF(WEEKDAY(B24,2)=7,48,0))</f>
        <v/>
      </c>
      <c r="F24" s="17" t="n"/>
      <c r="G24" s="18" t="n"/>
      <c r="H24" s="15">
        <f>IF(OR(F24="",G24="",F24=0),"",G24/F24)</f>
        <v/>
      </c>
      <c r="I24" s="31">
        <f>IF(H24=1,20,IF(AND(H24&gt;=98%,H24&lt;100%),10,0))</f>
        <v/>
      </c>
      <c r="J24" s="32">
        <f>E24+I24</f>
        <v/>
      </c>
      <c r="K24" s="1" t="n"/>
      <c r="L24" s="60">
        <f>SUM(L13-L19)</f>
        <v/>
      </c>
      <c r="M24" s="51" t="n"/>
      <c r="N24" s="1" t="n"/>
      <c r="O24" s="35" t="n"/>
      <c r="P24" s="35" t="n"/>
      <c r="Q24" s="33" t="n"/>
      <c r="R24" s="33" t="n"/>
      <c r="S24" s="34">
        <f>O24+P24+Q24+R24</f>
        <v/>
      </c>
      <c r="T24" s="1" t="n"/>
      <c r="U24" s="43">
        <f>SUM(J24-S24)</f>
        <v/>
      </c>
      <c r="V24" s="44" t="n"/>
      <c r="W24" s="2" t="n"/>
    </row>
    <row r="25" ht="15.75" customHeight="1" s="45">
      <c r="B25" s="30" t="n">
        <v>46371</v>
      </c>
      <c r="C25" s="12">
        <f>IF(B25="","",TEXT(WEEKDAY(B25),"dddd"))</f>
        <v/>
      </c>
      <c r="D25" s="16" t="n"/>
      <c r="E25" s="13">
        <f>IF(D25="","",VLOOKUP(D25,
{0,240;101,260;126,280;151,300;176,320;201,340;226,360;251,380;276,400;301,420;326,440;351,460;376,480},
2,TRUE)
+IF(WEEKDAY(B25,2)=7,48,0))</f>
        <v/>
      </c>
      <c r="F25" s="17" t="n"/>
      <c r="G25" s="18" t="n"/>
      <c r="H25" s="15">
        <f>IF(OR(F25="",G25="",F25=0),"",G25/F25)</f>
        <v/>
      </c>
      <c r="I25" s="31">
        <f>IF(H25=1,20,IF(AND(H25&gt;=98%,H25&lt;100%),10,0))</f>
        <v/>
      </c>
      <c r="J25" s="32">
        <f>E25+I25</f>
        <v/>
      </c>
      <c r="K25" s="1" t="n"/>
      <c r="L25" s="53" t="n"/>
      <c r="M25" s="54" t="n"/>
      <c r="N25" s="1" t="n"/>
      <c r="O25" s="35" t="n"/>
      <c r="P25" s="35" t="n"/>
      <c r="Q25" s="33" t="n"/>
      <c r="R25" s="33" t="n"/>
      <c r="S25" s="34">
        <f>O25+P25+Q25+R25</f>
        <v/>
      </c>
      <c r="T25" s="1" t="n"/>
      <c r="U25" s="43">
        <f>SUM(J25-S25)</f>
        <v/>
      </c>
      <c r="V25" s="44" t="n"/>
      <c r="W25" s="2" t="n"/>
    </row>
    <row r="26" ht="15.75" customHeight="1" s="45">
      <c r="B26" s="30" t="n">
        <v>46372</v>
      </c>
      <c r="C26" s="12">
        <f>IF(B26="","",TEXT(WEEKDAY(B26),"dddd"))</f>
        <v/>
      </c>
      <c r="D26" s="16" t="n"/>
      <c r="E26" s="13">
        <f>IF(D26="","",VLOOKUP(D26,
{0,240;101,260;126,280;151,300;176,320;201,340;226,360;251,380;276,400;301,420;326,440;351,460;376,480},
2,TRUE)
+IF(WEEKDAY(B26,2)=7,48,0))</f>
        <v/>
      </c>
      <c r="F26" s="17" t="n"/>
      <c r="G26" s="18" t="n"/>
      <c r="H26" s="15">
        <f>IF(OR(F26="",G26="",F26=0),"",G26/F26)</f>
        <v/>
      </c>
      <c r="I26" s="31">
        <f>IF(H26=1,20,IF(AND(H26&gt;=98%,H26&lt;100%),10,0))</f>
        <v/>
      </c>
      <c r="J26" s="32">
        <f>E26+I26</f>
        <v/>
      </c>
      <c r="K26" s="1" t="n"/>
      <c r="L26" s="1" t="n"/>
      <c r="M26" s="1" t="n"/>
      <c r="N26" s="1" t="n"/>
      <c r="O26" s="35" t="n"/>
      <c r="P26" s="35" t="n"/>
      <c r="Q26" s="33" t="n"/>
      <c r="R26" s="33" t="n"/>
      <c r="S26" s="34">
        <f>O26+P26+Q26+R26</f>
        <v/>
      </c>
      <c r="T26" s="1" t="n"/>
      <c r="U26" s="43">
        <f>SUM(J26-S26)</f>
        <v/>
      </c>
      <c r="V26" s="44" t="n"/>
      <c r="W26" s="2" t="n"/>
    </row>
    <row r="27" ht="15.75" customHeight="1" s="45">
      <c r="B27" s="30" t="n">
        <v>46373</v>
      </c>
      <c r="C27" s="12">
        <f>IF(B27="","",TEXT(WEEKDAY(B27),"dddd"))</f>
        <v/>
      </c>
      <c r="D27" s="16" t="n"/>
      <c r="E27" s="13">
        <f>IF(D27="","",VLOOKUP(D27,
{0,240;101,260;126,280;151,300;176,320;201,340;226,360;251,380;276,400;301,420;326,440;351,460;376,480},
2,TRUE)
+IF(WEEKDAY(B27,2)=7,48,0))</f>
        <v/>
      </c>
      <c r="F27" s="17" t="n"/>
      <c r="G27" s="18" t="n"/>
      <c r="H27" s="15">
        <f>IF(OR(F27="",G27="",F27=0),"",G27/F27)</f>
        <v/>
      </c>
      <c r="I27" s="31">
        <f>IF(H27=1,20,IF(AND(H27&gt;=98%,H27&lt;100%),10,0))</f>
        <v/>
      </c>
      <c r="J27" s="32">
        <f>E27+I27</f>
        <v/>
      </c>
      <c r="K27" s="1" t="n"/>
      <c r="L27" s="66" t="inlineStr">
        <is>
          <t>1ª bônus 600</t>
        </is>
      </c>
      <c r="M27" s="56" t="n"/>
      <c r="N27" s="1" t="n"/>
      <c r="O27" s="35" t="n"/>
      <c r="P27" s="35" t="n"/>
      <c r="Q27" s="33" t="n"/>
      <c r="R27" s="33" t="n"/>
      <c r="S27" s="34">
        <f>O27+P27+Q27+R27</f>
        <v/>
      </c>
      <c r="T27" s="1" t="n"/>
      <c r="U27" s="43">
        <f>SUM(J27-S27)</f>
        <v/>
      </c>
      <c r="V27" s="44" t="n"/>
      <c r="W27" s="2" t="n"/>
    </row>
    <row r="28" ht="15.75" customHeight="1" s="45">
      <c r="B28" s="30" t="n">
        <v>46374</v>
      </c>
      <c r="C28" s="12">
        <f>IF(B28="","",TEXT(WEEKDAY(B28),"dddd"))</f>
        <v/>
      </c>
      <c r="D28" s="16" t="n"/>
      <c r="E28" s="13">
        <f>IF(D28="","",VLOOKUP(D28,
{0,240;101,260;126,280;151,300;176,320;201,340;226,360;251,380;276,400;301,420;326,440;351,460;376,480},
2,TRUE)
+IF(WEEKDAY(B28,2)=7,48,0))</f>
        <v/>
      </c>
      <c r="F28" s="17" t="n"/>
      <c r="G28" s="18" t="n"/>
      <c r="H28" s="15">
        <f>IF(OR(F28="",G28="",F28=0),"",G28/F28)</f>
        <v/>
      </c>
      <c r="I28" s="31">
        <f>IF(H28=1,20,IF(AND(H28&gt;=98%,H28&lt;100%),10,0))</f>
        <v/>
      </c>
      <c r="J28" s="32">
        <f>E28+I28</f>
        <v/>
      </c>
      <c r="K28" s="1" t="n"/>
      <c r="L28" s="53" t="n"/>
      <c r="M28" s="54" t="n"/>
      <c r="N28" s="1" t="n"/>
      <c r="O28" s="35" t="n"/>
      <c r="P28" s="35" t="n"/>
      <c r="Q28" s="33" t="n"/>
      <c r="R28" s="33" t="n"/>
      <c r="S28" s="34">
        <f>O28+P28+Q28+R28</f>
        <v/>
      </c>
      <c r="T28" s="1" t="n"/>
      <c r="U28" s="43">
        <f>SUM(J28-S28)</f>
        <v/>
      </c>
      <c r="V28" s="44" t="n"/>
      <c r="W28" s="2" t="n"/>
    </row>
    <row r="29" ht="15.75" customHeight="1" s="45">
      <c r="B29" s="30" t="n">
        <v>46375</v>
      </c>
      <c r="C29" s="12">
        <f>IF(B29="","",TEXT(WEEKDAY(B29),"dddd"))</f>
        <v/>
      </c>
      <c r="D29" s="16" t="n"/>
      <c r="E29" s="13">
        <f>IF(D29="","",VLOOKUP(D29,
{0,240;101,260;126,280;151,300;176,320;201,340;226,360;251,380;276,400;301,420;326,440;351,460;376,480},
2,TRUE)
+IF(WEEKDAY(B29,2)=7,48,0))</f>
        <v/>
      </c>
      <c r="F29" s="17" t="n"/>
      <c r="G29" s="18" t="n"/>
      <c r="H29" s="15">
        <f>IF(OR(F29="",G29="",F29=0),"",G29/F29)</f>
        <v/>
      </c>
      <c r="I29" s="31">
        <f>IF(H29=1,20,IF(AND(H29&gt;=98%,H29&lt;100%),10,0))</f>
        <v/>
      </c>
      <c r="J29" s="32">
        <f>E29+I29</f>
        <v/>
      </c>
      <c r="K29" s="1" t="n"/>
      <c r="L29" s="55">
        <f>IF(OR(F37="",G37="",F37=0),"",G37/F37)</f>
        <v/>
      </c>
      <c r="M29" s="56" t="n"/>
      <c r="N29" s="1" t="n"/>
      <c r="O29" s="35" t="n"/>
      <c r="P29" s="35" t="n"/>
      <c r="Q29" s="33" t="n"/>
      <c r="R29" s="33" t="n"/>
      <c r="S29" s="34">
        <f>O29+P29+Q29+R29</f>
        <v/>
      </c>
      <c r="T29" s="1" t="n"/>
      <c r="U29" s="43">
        <f>SUM(J29-S29)</f>
        <v/>
      </c>
      <c r="V29" s="44" t="n"/>
      <c r="W29" s="2" t="n"/>
    </row>
    <row r="30" ht="15.75" customHeight="1" s="45">
      <c r="B30" s="30" t="n">
        <v>46376</v>
      </c>
      <c r="C30" s="12">
        <f>IF(B30="","",TEXT(WEEKDAY(B30),"dddd"))</f>
        <v/>
      </c>
      <c r="D30" s="16" t="n"/>
      <c r="E30" s="13">
        <f>IF(D30="","",VLOOKUP(D30,
{0,240;101,260;126,280;151,300;176,320;201,340;226,360;251,380;276,400;301,420;326,440;351,460;376,480},
2,TRUE)
+IF(WEEKDAY(B30,2)=7,48,0))</f>
        <v/>
      </c>
      <c r="F30" s="17" t="n"/>
      <c r="G30" s="18" t="n"/>
      <c r="H30" s="15">
        <f>IF(OR(F30="",G30="",F30=0),"",G30/F30)</f>
        <v/>
      </c>
      <c r="I30" s="31">
        <f>IF(H30=1,20,IF(AND(H30&gt;=98%,H30&lt;100%),10,0))</f>
        <v/>
      </c>
      <c r="J30" s="32">
        <f>E30+I30</f>
        <v/>
      </c>
      <c r="K30" s="1" t="n"/>
      <c r="L30" s="53" t="n"/>
      <c r="M30" s="54" t="n"/>
      <c r="N30" s="1" t="n"/>
      <c r="O30" s="35" t="n"/>
      <c r="P30" s="35" t="n"/>
      <c r="Q30" s="33" t="n"/>
      <c r="R30" s="33" t="n"/>
      <c r="S30" s="34">
        <f>O30+P30+Q30+R30</f>
        <v/>
      </c>
      <c r="T30" s="1" t="n"/>
      <c r="U30" s="43">
        <f>SUM(J30-S30)</f>
        <v/>
      </c>
      <c r="V30" s="44" t="n"/>
      <c r="W30" s="2" t="n"/>
    </row>
    <row r="31" ht="15.75" customHeight="1" s="45">
      <c r="B31" s="30" t="n">
        <v>46377</v>
      </c>
      <c r="C31" s="12">
        <f>IF(B31="","",TEXT(WEEKDAY(B31),"dddd"))</f>
        <v/>
      </c>
      <c r="D31" s="16" t="n"/>
      <c r="E31" s="13">
        <f>IF(D31="","",VLOOKUP(D31,
{0,240;101,260;126,280;151,300;176,320;201,340;226,360;251,380;276,400;301,420;326,440;351,460;376,480},
2,TRUE)
+IF(WEEKDAY(B31,2)=7,48,0))</f>
        <v/>
      </c>
      <c r="F31" s="17" t="n"/>
      <c r="G31" s="18" t="n"/>
      <c r="H31" s="15">
        <f>IF(OR(F31="",G31="",F31=0),"",G31/F31)</f>
        <v/>
      </c>
      <c r="I31" s="31">
        <f>IF(H31=1,20,IF(AND(H31&gt;=98%,H31&lt;100%),10,0))</f>
        <v/>
      </c>
      <c r="J31" s="32">
        <f>E31+I31</f>
        <v/>
      </c>
      <c r="K31" s="1" t="n"/>
      <c r="L31" s="58">
        <f>COUNTIF(D4:D19,"&gt;0")</f>
        <v/>
      </c>
      <c r="N31" s="1" t="n"/>
      <c r="O31" s="35" t="n"/>
      <c r="P31" s="35" t="n"/>
      <c r="Q31" s="33" t="n"/>
      <c r="R31" s="33" t="n"/>
      <c r="S31" s="34">
        <f>O31+P31+Q31+R31</f>
        <v/>
      </c>
      <c r="T31" s="1" t="n"/>
      <c r="U31" s="43">
        <f>SUM(J31-S31)</f>
        <v/>
      </c>
      <c r="V31" s="44" t="n"/>
      <c r="W31" s="2" t="n"/>
    </row>
    <row r="32" ht="15.75" customHeight="1" s="45">
      <c r="B32" s="30" t="n">
        <v>46378</v>
      </c>
      <c r="C32" s="12">
        <f>IF(B32="","",TEXT(WEEKDAY(B32),"dddd"))</f>
        <v/>
      </c>
      <c r="D32" s="16" t="n"/>
      <c r="E32" s="13">
        <f>IF(D32="","",VLOOKUP(D32,
{0,240;101,260;126,280;151,300;176,320;201,340;226,360;251,380;276,400;301,420;326,440;351,460;376,480},
2,TRUE)
+IF(WEEKDAY(B32,2)=7,48,0))</f>
        <v/>
      </c>
      <c r="F32" s="17" t="n"/>
      <c r="G32" s="18" t="n"/>
      <c r="H32" s="15">
        <f>IF(OR(F32="",G32="",F32=0),"",G32/F32)</f>
        <v/>
      </c>
      <c r="I32" s="31">
        <f>IF(H32=1,20,IF(AND(H32&gt;=98%,H32&lt;100%),10,0))</f>
        <v/>
      </c>
      <c r="J32" s="32">
        <f>E32+I32</f>
        <v/>
      </c>
      <c r="K32" s="1" t="n"/>
      <c r="L32" s="66" t="inlineStr">
        <is>
          <t>2ª bônus 600</t>
        </is>
      </c>
      <c r="M32" s="56" t="n"/>
      <c r="N32" s="1" t="n"/>
      <c r="O32" s="35" t="n"/>
      <c r="P32" s="35" t="n"/>
      <c r="Q32" s="33" t="n"/>
      <c r="R32" s="33" t="n"/>
      <c r="S32" s="34">
        <f>O32+P32+Q32+R32</f>
        <v/>
      </c>
      <c r="T32" s="1" t="n"/>
      <c r="U32" s="43">
        <f>SUM(J32-S32)</f>
        <v/>
      </c>
      <c r="V32" s="44" t="n"/>
      <c r="W32" s="2" t="n"/>
    </row>
    <row r="33" ht="15.75" customHeight="1" s="45">
      <c r="B33" s="30" t="n">
        <v>46379</v>
      </c>
      <c r="C33" s="12">
        <f>IF(B33="","",TEXT(WEEKDAY(B33),"dddd"))</f>
        <v/>
      </c>
      <c r="D33" s="16" t="n"/>
      <c r="E33" s="13">
        <f>IF(D33="","",VLOOKUP(D33,
{0,240;101,260;126,280;151,300;176,320;201,340;226,360;251,380;276,400;301,420;326,440;351,460;376,480},
2,TRUE)
+IF(WEEKDAY(B33,2)=7,48,0))</f>
        <v/>
      </c>
      <c r="F33" s="17" t="n"/>
      <c r="G33" s="18" t="n"/>
      <c r="H33" s="15">
        <f>IF(OR(F33="",G33="",F33=0),"",G33/F33)</f>
        <v/>
      </c>
      <c r="I33" s="31">
        <f>IF(H33=1,20,IF(AND(H33&gt;=98%,H33&lt;100%),10,0))</f>
        <v/>
      </c>
      <c r="J33" s="32">
        <f>E33+I33</f>
        <v/>
      </c>
      <c r="K33" s="1" t="n"/>
      <c r="L33" s="53" t="n"/>
      <c r="M33" s="54" t="n"/>
      <c r="N33" s="1" t="n"/>
      <c r="O33" s="35" t="n"/>
      <c r="P33" s="35" t="n"/>
      <c r="Q33" s="33" t="n"/>
      <c r="R33" s="33" t="n"/>
      <c r="S33" s="34">
        <f>O33+P33+Q33+R33</f>
        <v/>
      </c>
      <c r="T33" s="1" t="n"/>
      <c r="U33" s="43">
        <f>SUM(J33-S33)</f>
        <v/>
      </c>
      <c r="V33" s="44" t="n"/>
      <c r="W33" s="2" t="n"/>
    </row>
    <row r="34" ht="15.75" customHeight="1" s="45">
      <c r="B34" s="30" t="n">
        <v>46380</v>
      </c>
      <c r="C34" s="12">
        <f>IF(B34="","",TEXT(WEEKDAY(B34),"dddd"))</f>
        <v/>
      </c>
      <c r="D34" s="16" t="n"/>
      <c r="E34" s="13">
        <f>IF(D34="","",VLOOKUP(D34,
{0,240;101,260;126,280;151,300;176,320;201,340;226,360;251,380;276,400;301,420;326,440;351,460;376,480},
2,TRUE)
+IF(WEEKDAY(B34,2)=7,48,0))</f>
        <v/>
      </c>
      <c r="F34" s="17" t="n"/>
      <c r="G34" s="18" t="n"/>
      <c r="H34" s="15">
        <f>IF(OR(F34="",G34="",F34=0),"",G34/F34)</f>
        <v/>
      </c>
      <c r="I34" s="31">
        <f>IF(H34=1,20,IF(AND(H34&gt;=98%,H34&lt;100%),10,0))</f>
        <v/>
      </c>
      <c r="J34" s="32">
        <f>E34+I34</f>
        <v/>
      </c>
      <c r="K34" s="1" t="n"/>
      <c r="L34" s="55">
        <f>IF(OR(F38="",G38="",F38=0),"",G38/F38)</f>
        <v/>
      </c>
      <c r="M34" s="56" t="n"/>
      <c r="N34" s="1" t="n"/>
      <c r="O34" s="35" t="n"/>
      <c r="P34" s="35" t="n"/>
      <c r="Q34" s="33" t="n"/>
      <c r="R34" s="33" t="n"/>
      <c r="S34" s="34">
        <f>O34+P34+Q34+R34</f>
        <v/>
      </c>
      <c r="T34" s="1" t="n"/>
      <c r="U34" s="43">
        <f>SUM(J34-S34)</f>
        <v/>
      </c>
      <c r="V34" s="44" t="n"/>
      <c r="W34" s="2" t="n"/>
    </row>
    <row r="35" ht="15.75" customHeight="1" s="45">
      <c r="B35" s="30" t="n">
        <v>46381</v>
      </c>
      <c r="C35" s="12">
        <f>IF(B35="","",TEXT(WEEKDAY(B35),"dddd"))</f>
        <v/>
      </c>
      <c r="D35" s="16" t="n"/>
      <c r="E35" s="13">
        <f>IF(D35="","",VLOOKUP(D35,
{0,240;101,260;126,280;151,300;176,320;201,340;226,360;251,380;276,400;301,420;326,440;351,460;376,480},
2,TRUE)
+IF(WEEKDAY(B35,2)=7,48,0))</f>
        <v/>
      </c>
      <c r="F35" s="26" t="n"/>
      <c r="G35" s="27" t="n"/>
      <c r="H35" s="15">
        <f>IF(OR(F35="",G35="",F35=0),"",G35/F35)</f>
        <v/>
      </c>
      <c r="I35" s="31">
        <f>IF(H35=1,20,IF(AND(H35&gt;=98%,H35&lt;100%),10,0))</f>
        <v/>
      </c>
      <c r="J35" s="32">
        <f>E35+I35</f>
        <v/>
      </c>
      <c r="K35" s="1" t="n"/>
      <c r="L35" s="53" t="n"/>
      <c r="M35" s="54" t="n"/>
      <c r="N35" s="1" t="n"/>
      <c r="O35" s="35" t="n"/>
      <c r="P35" s="35" t="n"/>
      <c r="Q35" s="33" t="n"/>
      <c r="R35" s="33" t="n"/>
      <c r="S35" s="34">
        <f>O35+P35+Q35+R35</f>
        <v/>
      </c>
      <c r="T35" s="1" t="n"/>
      <c r="U35" s="43">
        <f>SUM(J35-S35)</f>
        <v/>
      </c>
      <c r="V35" s="44" t="n"/>
      <c r="W35" s="2" t="n"/>
    </row>
    <row r="36" ht="15.75" customHeight="1" s="4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69">
        <f>COUNTIF(D21:D35,"&gt;0")</f>
        <v/>
      </c>
      <c r="N36" s="1" t="n"/>
      <c r="O36" s="1" t="n"/>
      <c r="P36" s="1" t="n"/>
      <c r="Q36" s="1" t="n"/>
      <c r="R36" s="1" t="n"/>
      <c r="S36" s="1" t="n"/>
      <c r="T36" s="1" t="n"/>
      <c r="U36" s="65" t="n"/>
      <c r="V36" s="44" t="n"/>
      <c r="W36" s="2" t="n"/>
    </row>
    <row r="37" ht="15.75" customHeight="1" s="45">
      <c r="F37" s="28">
        <f>SUM(F4:F19)</f>
        <v/>
      </c>
      <c r="G37" s="28">
        <f>SUM(G4:G19)</f>
        <v/>
      </c>
      <c r="J37" s="41">
        <f>SUM(J4:J19)</f>
        <v/>
      </c>
      <c r="L37" s="29" t="n"/>
    </row>
    <row r="38" ht="15.75" customHeight="1" s="45">
      <c r="F38" s="28">
        <f>SUM(F21:F35)</f>
        <v/>
      </c>
      <c r="G38" s="28">
        <f>SUM(G21:G35)</f>
        <v/>
      </c>
      <c r="J38" s="41">
        <f>SUM(J21:J35)</f>
        <v/>
      </c>
    </row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  <row r="1001" ht="15.75" customHeight="1" s="45"/>
  </sheetData>
  <mergeCells count="85">
    <mergeCell ref="U31:V31"/>
    <mergeCell ref="U40:V40"/>
    <mergeCell ref="U15:V15"/>
    <mergeCell ref="U65:V65"/>
    <mergeCell ref="L22:M23"/>
    <mergeCell ref="L13:M15"/>
    <mergeCell ref="L34:M35"/>
    <mergeCell ref="L6:M7"/>
    <mergeCell ref="L19:M21"/>
    <mergeCell ref="U16:V16"/>
    <mergeCell ref="U57:V57"/>
    <mergeCell ref="U33:V33"/>
    <mergeCell ref="U28:V28"/>
    <mergeCell ref="U42:V42"/>
    <mergeCell ref="L31:M31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A4:A19"/>
    <mergeCell ref="U48:V48"/>
    <mergeCell ref="U32:V32"/>
    <mergeCell ref="L11:M12"/>
    <mergeCell ref="U41:V41"/>
    <mergeCell ref="U13:V13"/>
    <mergeCell ref="U7:V7"/>
    <mergeCell ref="U47:V47"/>
    <mergeCell ref="U56:V56"/>
    <mergeCell ref="U43:V43"/>
    <mergeCell ref="U24:V24"/>
    <mergeCell ref="U18:V18"/>
    <mergeCell ref="U58:V58"/>
    <mergeCell ref="U8:V8"/>
    <mergeCell ref="U63:V63"/>
    <mergeCell ref="U10:V10"/>
    <mergeCell ref="U50:V50"/>
    <mergeCell ref="U19:V19"/>
    <mergeCell ref="U44:V44"/>
    <mergeCell ref="U34:V34"/>
    <mergeCell ref="U9:V9"/>
    <mergeCell ref="U49:V49"/>
    <mergeCell ref="L1:M2"/>
    <mergeCell ref="U36:V36"/>
    <mergeCell ref="U30:V30"/>
    <mergeCell ref="U45:V45"/>
    <mergeCell ref="L27:M28"/>
    <mergeCell ref="U37:V37"/>
    <mergeCell ref="A21:A35"/>
    <mergeCell ref="L17:M18"/>
    <mergeCell ref="U12:V12"/>
    <mergeCell ref="U21:V21"/>
    <mergeCell ref="U62:V62"/>
    <mergeCell ref="U55:V55"/>
    <mergeCell ref="L3:M4"/>
    <mergeCell ref="U64:V64"/>
    <mergeCell ref="U51:V51"/>
    <mergeCell ref="U1:V3"/>
    <mergeCell ref="U26:V26"/>
    <mergeCell ref="U35:V35"/>
    <mergeCell ref="L29:M30"/>
    <mergeCell ref="U27:V27"/>
    <mergeCell ref="U17:V17"/>
    <mergeCell ref="U11:V11"/>
    <mergeCell ref="U25:V25"/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</mergeCells>
  <conditionalFormatting sqref="C4:C35">
    <cfRule type="beginsWith" priority="1" operator="beginsWith" dxfId="0" text="d">
      <formula>LEFT((C4),LEN("d"))=("d")</formula>
    </cfRule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</dc:creator>
  <dcterms:created xmlns:dcterms="http://purl.org/dc/terms/" xmlns:xsi="http://www.w3.org/2001/XMLSchema-instance" xsi:type="dcterms:W3CDTF">2026-06-21T14:14:34Z</dcterms:created>
  <dcterms:modified xmlns:dcterms="http://purl.org/dc/terms/" xmlns:xsi="http://www.w3.org/2001/XMLSchema-instance" xsi:type="dcterms:W3CDTF">2026-06-21T23:56:27Z</dcterms:modified>
  <cp:lastModifiedBy>Diego Lumi</cp:lastModifiedBy>
</cp:coreProperties>
</file>